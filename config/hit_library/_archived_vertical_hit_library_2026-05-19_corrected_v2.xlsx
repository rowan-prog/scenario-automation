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38f564949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deac66169a84b08"/>
    <x:sheet xmlns:r="http://schemas.openxmlformats.org/officeDocument/2006/relationships" name="01_FINAL_LIBRARY" sheetId="2" r:id="R2b748790aa9442c4"/>
    <x:sheet xmlns:r="http://schemas.openxmlformats.org/officeDocument/2006/relationships" name="02_REPLACEMENT_VALIDATION" sheetId="3" r:id="R138cd0b2404c463a"/>
    <x:sheet xmlns:r="http://schemas.openxmlformats.org/officeDocument/2006/relationships" name="03_AIGC_TRACKER" sheetId="4" r:id="R1a4363b053a249bb"/>
    <x:sheet xmlns:r="http://schemas.openxmlformats.org/officeDocument/2006/relationships" name="04_TROPE_INDEX" sheetId="5" r:id="Rab0645d715bf4331"/>
    <x:sheet xmlns:r="http://schemas.openxmlformats.org/officeDocument/2006/relationships" name="05_SOURCE_REGISTER" sheetId="6" r:id="R7c9c28ad58c347fa"/>
    <x:sheet xmlns:r="http://schemas.openxmlformats.org/officeDocument/2006/relationships" name="06_WEB_CHECK_NOTES" sheetId="7" r:id="R327c77f62dea4131"/>
    <x:sheet xmlns:r="http://schemas.openxmlformats.org/officeDocument/2006/relationships" name="99_LOOKUPS" sheetId="8" r:id="Rfcd111a207574483"/>
    <x:sheet xmlns:r="http://schemas.openxmlformats.org/officeDocument/2006/relationships" name="07_0519_NETSHORT_FIX" sheetId="9" r:id="R4ace80978c06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334155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FEDD5"/>
        </x:patternFill>
      </x:fill>
    </x:dxf>
    <x:dxf>
      <x:fill>
        <x:patternFill>
          <x:bgColor rgb="EFF6FF"/>
        </x:patternFill>
      </x:fill>
    </x:dxf>
    <x:dxf>
      <x:fill>
        <x:patternFill>
          <x:bgColor rgb="ECFDF5"/>
        </x:patternFill>
      </x:fill>
    </x:dxf>
    <x:dxf>
      <x:fill>
        <x:patternFill>
          <x:bgColor rgb="FFEDD5"/>
        </x:patternFill>
      </x:fill>
    </x:dxf>
    <x:dxf>
      <x:fill>
        <x:patternFill>
          <x:bgColor rgb="DCFCE7"/>
        </x:patternFill>
      </x:fill>
    </x:dxf>
    <x:dxf>
      <x:fill>
        <x:patternFill>
          <x:bgColor rgb="E0E7FF"/>
        </x:patternFill>
      </x:fill>
    </x:dxf>
    <x:dxf>
      <x:fill>
        <x:patternFill>
          <x:bgColor rgb="DCFCE7"/>
        </x:patternFill>
      </x:fill>
    </x:dxf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1595b311b4f46" /><Relationship Type="http://schemas.openxmlformats.org/officeDocument/2006/relationships/theme" Target="/xl/theme/theme1.xml" Id="R785046cce28f43e0" /><Relationship Type="http://schemas.openxmlformats.org/officeDocument/2006/relationships/sharedStrings" Target="/xl/sharedStrings.xml" Id="R92587d23c3704f99" /><Relationship Type="http://schemas.openxmlformats.org/officeDocument/2006/relationships/worksheet" Target="/xl/worksheets/sheet1.xml" Id="R4deac66169a84b08" /><Relationship Type="http://schemas.openxmlformats.org/officeDocument/2006/relationships/worksheet" Target="/xl/worksheets/sheet2.xml" Id="R2b748790aa9442c4" /><Relationship Type="http://schemas.openxmlformats.org/officeDocument/2006/relationships/worksheet" Target="/xl/worksheets/sheet3.xml" Id="R138cd0b2404c463a" /><Relationship Type="http://schemas.openxmlformats.org/officeDocument/2006/relationships/worksheet" Target="/xl/worksheets/sheet4.xml" Id="R1a4363b053a249bb" /><Relationship Type="http://schemas.openxmlformats.org/officeDocument/2006/relationships/worksheet" Target="/xl/worksheets/sheet5.xml" Id="Rab0645d715bf4331" /><Relationship Type="http://schemas.openxmlformats.org/officeDocument/2006/relationships/worksheet" Target="/xl/worksheets/sheet6.xml" Id="R7c9c28ad58c347fa" /><Relationship Type="http://schemas.openxmlformats.org/officeDocument/2006/relationships/worksheet" Target="/xl/worksheets/sheet7.xml" Id="R327c77f62dea4131" /><Relationship Type="http://schemas.openxmlformats.org/officeDocument/2006/relationships/worksheet" Target="/xl/worksheets/sheet8.xml" Id="Rfcd111a207574483" /><Relationship Type="http://schemas.openxmlformats.org/officeDocument/2006/relationships/worksheet" Target="/xl/worksheets/sheet9.xml" Id="R4ace80978c0649f1" /></Relationships>
</file>

<file path=xl/tables/table1.xml><?xml version="1.0" encoding="utf-8"?>
<x:table xmlns:x="http://schemas.openxmlformats.org/spreadsheetml/2006/main" id="1" name="FinalLibraryTable" displayName="FinalLibraryTable" ref="A1:Z288" headerRowCount="1">
  <x:tableColumns count="26">
    <x:tableColumn id="1" name="library_id"/>
    <x:tableColumn id="2" name="month"/>
    <x:tableColumn id="3" name="platform"/>
    <x:tableColumn id="4" name="source_origin"/>
    <x:tableColumn id="5" name="slot_rank"/>
    <x:tableColumn id="6" name="merge_status"/>
    <x:tableColumn id="7" name="title"/>
    <x:tableColumn id="8" name="clean_title"/>
    <x:tableColumn id="9" name="format_aigc_flag"/>
    <x:tableColumn id="10" name="aigc_status"/>
    <x:tableColumn id="11" name="target_bucket"/>
    <x:tableColumn id="12" name="genre_trope"/>
    <x:tableColumn id="13" name="desire_engine"/>
    <x:tableColumn id="14" name="conversion_engine"/>
    <x:tableColumn id="15" name="aigc_leverage"/>
    <x:tableColumn id="16" name="logline"/>
    <x:tableColumn id="17" name="reaction_signal"/>
    <x:tableColumn id="18" name="performance_signal"/>
    <x:tableColumn id="19" name="evidence_tier"/>
    <x:tableColumn id="20" name="evidence_score"/>
    <x:tableColumn id="21" name="priority"/>
    <x:tableColumn id="22" name="replacement_action"/>
    <x:tableColumn id="23" name="replace_with_or_target"/>
    <x:tableColumn id="24" name="validation_note"/>
    <x:tableColumn id="25" name="source_urls"/>
    <x:tableColumn id="26" name="research_next_step"/>
  </x:tableColumns>
  <x:tableStyleInfo name="TableStyleMedium2" showRowStripes="1"/>
</x:table>
</file>

<file path=xl/tables/table2.xml><?xml version="1.0" encoding="utf-8"?>
<x:table xmlns:x="http://schemas.openxmlformats.org/spreadsheetml/2006/main" id="2" name="ReplacementValidationTable" displayName="ReplacementValidationTable" ref="A1:M76" headerRowCount="1">
  <x:tableColumns count="13">
    <x:tableColumn id="1" name="month"/>
    <x:tableColumn id="2" name="platform"/>
    <x:tableColumn id="3" name="supplement_title"/>
    <x:tableColumn id="4" name="match_status"/>
    <x:tableColumn id="5" name="decision"/>
    <x:tableColumn id="6" name="replace_target_or_existing"/>
    <x:tableColumn id="7" name="current_xlsx_same_slot"/>
    <x:tableColumn id="8" name="supplement_logline_tags"/>
    <x:tableColumn id="9" name="supplement_performance"/>
    <x:tableColumn id="10" name="supplement_score"/>
    <x:tableColumn id="11" name="reason"/>
    <x:tableColumn id="12" name="recommendation"/>
    <x:tableColumn id="13" name="source_urls"/>
  </x:tableColumns>
  <x:tableStyleInfo name="TableStyleMedium2" showRowStripes="1"/>
</x:table>
</file>

<file path=xl/tables/table3.xml><?xml version="1.0" encoding="utf-8"?>
<x:table xmlns:x="http://schemas.openxmlformats.org/spreadsheetml/2006/main" id="3" name="AIGCTrackerTable" displayName="AIGCTrackerTable" ref="A1:L43" headerRowCount="1">
  <x:tableColumns count="12">
    <x:tableColumn id="1" name="month"/>
    <x:tableColumn id="2" name="platform"/>
    <x:tableColumn id="3" name="clean_title"/>
    <x:tableColumn id="4" name="aigc_status"/>
    <x:tableColumn id="5" name="target_bucket"/>
    <x:tableColumn id="6" name="genre_trope"/>
    <x:tableColumn id="7" name="aigc_leverage"/>
    <x:tableColumn id="8" name="performance_signal"/>
    <x:tableColumn id="9" name="evidence_score"/>
    <x:tableColumn id="10" name="priority"/>
    <x:tableColumn id="11" name="source_urls"/>
    <x:tableColumn id="12" name="research_next_step"/>
  </x:tableColumns>
  <x:tableStyleInfo name="TableStyleMedium2" showRowStripes="1"/>
</x:table>
</file>

<file path=xl/tables/table4.xml><?xml version="1.0" encoding="utf-8"?>
<x:table xmlns:x="http://schemas.openxmlformats.org/spreadsheetml/2006/main" id="4" name="TropeIndexTable" displayName="TropeIndexTable" ref="A1:F81" headerRowCount="1">
  <x:tableColumns count="6">
    <x:tableColumn id="1" name="rank"/>
    <x:tableColumn id="2" name="trope_or_keyword"/>
    <x:tableColumn id="3" name="count"/>
    <x:tableColumn id="4" name="platforms"/>
    <x:tableColumn id="5" name="example_titles"/>
    <x:tableColumn id="6" name="planning_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1:H210" headerRowCount="1">
  <x:tableColumns count="8">
    <x:tableColumn id="1" name="source_id"/>
    <x:tableColumn id="2" name="domain"/>
    <x:tableColumn id="3" name="source_type"/>
    <x:tableColumn id="4" name="reliability_tier"/>
    <x:tableColumn id="5" name="used_in_rows"/>
    <x:tableColumn id="6" name="example_titles"/>
    <x:tableColumn id="7" name="origin_mix"/>
    <x:tableColumn id="8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WebCheckNotesTable" displayName="WebCheckNotesTable" ref="A1:E7" headerRowCount="1">
  <x:tableColumns count="5">
    <x:tableColumn id="1" name="topic"/>
    <x:tableColumn id="2" name="finding"/>
    <x:tableColumn id="3" name="use_in_library"/>
    <x:tableColumn id="4" name="url"/>
    <x:tableColumn id="5" name="source_reliability"/>
  </x:tableColumns>
  <x:tableStyleInfo name="TableStyleMedium2" showRowStripes="1"/>
</x:table>
</file>

<file path=xl/tables/table7.xml><?xml version="1.0" encoding="utf-8"?>
<x:table xmlns:x="http://schemas.openxmlformats.org/spreadsheetml/2006/main" id="7" name="LookupsTable" displayName="LookupsTable" ref="A1:G8" headerRowCount="1">
  <x:tableColumns count="7">
    <x:tableColumn id="1" name="platform"/>
    <x:tableColumn id="2" name="source_origin"/>
    <x:tableColumn id="3" name="merge_status"/>
    <x:tableColumn id="4" name="aigc_status"/>
    <x:tableColumn id="5" name="priority"/>
    <x:tableColumn id="6" name="replacement_action"/>
    <x:tableColumn id="7" name="evidence_ti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f937841ca64c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bb2d9b27f840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a93f440e5f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5ab953755b4e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e6064fd86343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0ca28404ec41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7e09938cc249b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6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4" t="str">
        <x:v>Vertical Hit Library — 교체 검증 &amp; 최종 라이브러리 시트</x:v>
      </x:c>
      <x:c r="B1" s="24" t="str"/>
      <x:c r="C1" s="24" t="str"/>
      <x:c r="D1" s="24" t="str"/>
      <x:c r="E1" s="24" t="str"/>
      <x:c r="F1" s="24" t="str"/>
      <x:c r="G1" s="24" t="str"/>
      <x:c r="H1" s="24" t="str"/>
    </x:row>
    <x:row r="2">
      <x:c r="A2" s="15" t="str">
        <x:v>생성일</x:v>
      </x:c>
      <x:c r="B2" s="15" t="str">
        <x:v>2026-05-15 (Asia/Seoul)</x:v>
      </x:c>
      <x:c r="C2" s="15" t="str">
        <x:v>기준</x:v>
      </x:c>
      <x:c r="D2" s="15" t="str">
        <x:v>2026-05-15 공개자료 + 업로드 보강자료</x:v>
      </x:c>
      <x:c r="E2" s="15" t="str"/>
      <x:c r="F2" s="15" t="str"/>
      <x:c r="G2" s="15" t="str"/>
      <x:c r="H2" s="15" t="str"/>
    </x:row>
    <x:row r="3">
      <x:c r="A3" s="15" t="str">
        <x:v>입력</x:v>
      </x:c>
      <x:c r="B3" s="15" t="str">
        <x:v>vertical_drama_animation_hit_library_2025-06_2026-05(1).xlsx</x:v>
      </x:c>
      <x:c r="C3" s="15" t="str">
        <x:v>보강</x:v>
      </x:c>
      <x:c r="D3" s="15" t="str">
        <x:v>2025년 중반부터 2026년 봄까지 세로형 드라마·애니메이션 히트 라이브러리 구축 리포트.docx</x:v>
      </x:c>
      <x:c r="E3" s="15" t="str"/>
      <x:c r="F3" s="15" t="str"/>
      <x:c r="G3" s="15" t="str"/>
      <x:c r="H3" s="15" t="str"/>
    </x:row>
    <x:row r="4">
      <x:c r="A4" s="15" t="str">
        <x:v>판정 원칙</x:v>
      </x:c>
      <x:c r="B4" s="15" t="str">
        <x:v>삭제형 교체보다 Base 유지 + 보강자료 병합/추가 + 약한 슬롯 교체후보 표기가 안전. 월간 차트 원본이 아닌 공개근거 기반이므로 강제 삭제는 최소화.</x:v>
      </x:c>
      <x:c r="C4" s="15" t="str"/>
      <x:c r="D4" s="15" t="str"/>
      <x:c r="E4" s="15" t="str"/>
      <x:c r="F4" s="15" t="str"/>
      <x:c r="G4" s="15" t="str"/>
      <x:c r="H4" s="15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32" t="str">
        <x:v>KPI</x:v>
      </x:c>
      <x:c r="B6" s="32" t="str">
        <x:v>값</x:v>
      </x:c>
      <x:c r="C6" s="32" t="str">
        <x:v>의미</x:v>
      </x:c>
      <x:c r="D6" t="str"/>
      <x:c r="E6" t="str"/>
      <x:c r="F6" t="str"/>
      <x:c r="G6" t="str"/>
      <x:c r="H6" t="str"/>
    </x:row>
    <x:row r="7">
      <x:c r="A7" t="str">
        <x:v>Final library rows</x:v>
      </x:c>
      <x:c r="B7" s="38" t="n">
        <x:f>COUNTA('01_FINAL_LIBRARY'!A2:A1000)</x:f>
        <x:v>324</x:v>
      </x:c>
      <x:c r="C7" t="str">
        <x:v>Base + merged + supplement rows</x:v>
      </x:c>
      <x:c r="D7" t="str"/>
      <x:c r="E7" t="str"/>
      <x:c r="F7" t="str"/>
      <x:c r="G7" t="str"/>
      <x:c r="H7" t="str"/>
    </x:row>
    <x:row r="8">
      <x:c r="A8" t="str">
        <x:v>Base only rows</x:v>
      </x:c>
      <x:c r="B8" s="38" t="n">
        <x:f>COUNTIF('01_FINAL_LIBRARY'!D2:D1000,"Base_XLSX")</x:f>
        <x:v>212</x:v>
      </x:c>
      <x:c r="C8" t="str">
        <x:v>기존 xlsx에서 유지된 행</x:v>
      </x:c>
      <x:c r="D8" t="str"/>
      <x:c r="E8" t="str"/>
      <x:c r="F8" t="str"/>
      <x:c r="G8" t="str"/>
      <x:c r="H8" t="str"/>
    </x:row>
    <x:row r="9">
      <x:c r="A9" t="str">
        <x:v>Merged rows</x:v>
      </x:c>
      <x:c r="B9" s="38" t="n">
        <x:f>COUNTIF('01_FINAL_LIBRARY'!D2:D1000,"Base+Supplement_DOCX")</x:f>
        <x:v>8</x:v>
      </x:c>
      <x:c r="C9" t="str">
        <x:v>기존행과 보강자료가 같은 월·플랫폼·타이틀로 일치해 병합된 행</x:v>
      </x:c>
      <x:c r="D9" t="str"/>
      <x:c r="E9" t="str"/>
      <x:c r="F9" t="str"/>
      <x:c r="G9" t="str"/>
      <x:c r="H9" t="str"/>
    </x:row>
    <x:row r="10">
      <x:c r="A10" t="str">
        <x:v>Supplement-added rows</x:v>
      </x:c>
      <x:c r="B10" s="38" t="n">
        <x:f>COUNTIF('01_FINAL_LIBRARY'!D2:D1000,"Supplement_DOCX")</x:f>
        <x:v>67</x:v>
      </x:c>
      <x:c r="C10" t="str">
        <x:v>보강자료에서 새로 추가된 행</x:v>
      </x:c>
      <x:c r="D10" t="str"/>
      <x:c r="E10" t="str"/>
      <x:c r="F10" t="str"/>
      <x:c r="G10" t="str"/>
      <x:c r="H10" t="str"/>
    </x:row>
    <x:row r="11">
      <x:c r="A11" t="str">
        <x:v>Base low-confidence rows</x:v>
      </x:c>
      <x:c r="B11" s="38" t="n">
        <x:f>35</x:f>
        <x:v>35</x:v>
      </x:c>
      <x:c r="C11" t="str">
        <x:v>기존 xlsx 중 Low confidence 행 수</x:v>
      </x:c>
      <x:c r="D11" t="str"/>
      <x:c r="E11" t="str"/>
      <x:c r="F11" t="str"/>
      <x:c r="G11" t="str"/>
      <x:c r="H11" t="str"/>
    </x:row>
    <x:row r="12">
      <x:c r="A12" t="str">
        <x:v>AIGC / animation candidate rows</x:v>
      </x:c>
      <x:c r="B12" s="38" t="n">
        <x:f>COUNTA('03_AIGC_TRACKER'!A2:A1000)</x:f>
        <x:v>42</x:v>
      </x:c>
      <x:c r="C12" t="str">
        <x:v>AIGC 추적 시트 대상</x:v>
      </x:c>
      <x:c r="D12" t="str"/>
      <x:c r="E12" t="str"/>
      <x:c r="F12" t="str"/>
      <x:c r="G12" t="str"/>
      <x:c r="H12" t="str"/>
    </x:row>
    <x:row r="13">
      <x:c r="A13" t="str">
        <x:v>A_Core rows</x:v>
      </x:c>
      <x:c r="B13" s="38" t="n">
        <x:f>COUNTIF('01_FINAL_LIBRARY'!U2:U1000,"A_Core")</x:f>
        <x:v>136</x:v>
      </x:c>
      <x:c r="C13" t="str">
        <x:v>근거 점수 85점 이상 우선 학습/레퍼런스</x:v>
      </x:c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s="32" t="str">
        <x:v>Platform Summary</x:v>
      </x:c>
      <x:c r="B15" s="32" t="str"/>
      <x:c r="C15" s="32" t="str"/>
      <x:c r="D15" s="32" t="str"/>
      <x:c r="E15" s="32" t="str"/>
      <x:c r="F15" t="str"/>
      <x:c r="G15" t="str"/>
      <x:c r="H15" t="str"/>
    </x:row>
    <x:row r="16">
      <x:c r="A16" s="6" t="str">
        <x:v>Platform</x:v>
      </x:c>
      <x:c r="B16" s="6" t="str">
        <x:v>Final rows</x:v>
      </x:c>
      <x:c r="C16" s="6" t="str">
        <x:v>AIGC rows</x:v>
      </x:c>
      <x:c r="D16" s="6" t="str">
        <x:v>Supplement adds</x:v>
      </x:c>
      <x:c r="E16" s="6" t="str">
        <x:v>A_Core rows</x:v>
      </x:c>
      <x:c r="F16" t="str"/>
      <x:c r="G16" t="str"/>
      <x:c r="H16" t="str"/>
    </x:row>
    <x:row r="17">
      <x:c r="A17" t="str">
        <x:v>ReelShort</x:v>
      </x:c>
      <x:c r="B17" s="38" t="n">
        <x:f>COUNTIF('01_FINAL_LIBRARY'!C2:C1000,"ReelShort")</x:f>
        <x:v>57</x:v>
      </x:c>
      <x:c r="C17" s="38" t="n">
        <x:f>COUNTIFS('01_FINAL_LIBRARY'!C2:C1000,"ReelShort",'01_FINAL_LIBRARY'!J2:J1000,"&lt;&gt;Not flagged")</x:f>
        <x:v>5</x:v>
      </x:c>
      <x:c r="D17" s="38" t="n">
        <x:f>COUNTIFS('01_FINAL_LIBRARY'!C2:C1000,"ReelShort",'01_FINAL_LIBRARY'!D2:D1000,"Supplement_DOCX")</x:f>
        <x:v>12</x:v>
      </x:c>
      <x:c r="E17" s="38" t="n">
        <x:f>COUNTIFS('01_FINAL_LIBRARY'!C2:C1000,"ReelShort",'01_FINAL_LIBRARY'!U2:U1000,"A_Core")</x:f>
        <x:v>18</x:v>
      </x:c>
    </x:row>
    <x:row r="18">
      <x:c r="A18" t="str">
        <x:v>DramaBox</x:v>
      </x:c>
      <x:c r="B18" s="38" t="n">
        <x:f>COUNTIF('01_FINAL_LIBRARY'!C2:C1000,"DramaBox")</x:f>
        <x:v>54</x:v>
      </x:c>
      <x:c r="C18" s="38" t="n">
        <x:f>COUNTIFS('01_FINAL_LIBRARY'!C2:C1000,"DramaBox",'01_FINAL_LIBRARY'!J2:J1000,"&lt;&gt;Not flagged")</x:f>
        <x:v>2</x:v>
      </x:c>
      <x:c r="D18" s="38" t="n">
        <x:f>COUNTIFS('01_FINAL_LIBRARY'!C2:C1000,"DramaBox",'01_FINAL_LIBRARY'!D2:D1000,"Supplement_DOCX")</x:f>
        <x:v>10</x:v>
      </x:c>
      <x:c r="E18" s="38" t="n">
        <x:f>COUNTIFS('01_FINAL_LIBRARY'!C2:C1000,"DramaBox",'01_FINAL_LIBRARY'!U2:U1000,"A_Core")</x:f>
        <x:v>9</x:v>
      </x:c>
    </x:row>
    <x:row r="19">
      <x:c r="A19" t="str">
        <x:v>GoodShort</x:v>
      </x:c>
      <x:c r="B19" s="38" t="n">
        <x:f>COUNTIF('01_FINAL_LIBRARY'!C2:C1000,"GoodShort")</x:f>
        <x:v>56</x:v>
      </x:c>
      <x:c r="C19" s="38" t="n">
        <x:f>COUNTIFS('01_FINAL_LIBRARY'!C2:C1000,"GoodShort",'01_FINAL_LIBRARY'!J2:J1000,"&lt;&gt;Not flagged")</x:f>
        <x:v>8</x:v>
      </x:c>
      <x:c r="D19" s="38" t="n">
        <x:f>COUNTIFS('01_FINAL_LIBRARY'!C2:C1000,"GoodShort",'01_FINAL_LIBRARY'!D2:D1000,"Supplement_DOCX")</x:f>
        <x:v>12</x:v>
      </x:c>
      <x:c r="E19" s="38" t="n">
        <x:f>COUNTIFS('01_FINAL_LIBRARY'!C2:C1000,"GoodShort",'01_FINAL_LIBRARY'!U2:U1000,"A_Core")</x:f>
        <x:v>32</x:v>
      </x:c>
    </x:row>
    <x:row r="20">
      <x:c r="A20" t="str">
        <x:v>NetShort</x:v>
      </x:c>
      <x:c r="B20" s="38" t="n">
        <x:f>COUNTIF('01_FINAL_LIBRARY'!C2:C1000,"NetShort")</x:f>
        <x:v>97</x:v>
      </x:c>
      <x:c r="C20" s="38" t="n">
        <x:f>COUNTIFS('01_FINAL_LIBRARY'!C2:C1000,"NetShort",'01_FINAL_LIBRARY'!J2:J1000,"&lt;&gt;Not flagged")</x:f>
        <x:v>46</x:v>
      </x:c>
      <x:c r="D20" s="38" t="n">
        <x:f>COUNTIFS('01_FINAL_LIBRARY'!C2:C1000,"NetShort",'01_FINAL_LIBRARY'!D2:D1000,"Supplement_DOCX")</x:f>
        <x:v>17</x:v>
      </x:c>
      <x:c r="E20" s="38" t="n">
        <x:f>COUNTIFS('01_FINAL_LIBRARY'!C2:C1000,"NetShort",'01_FINAL_LIBRARY'!U2:U1000,"A_Core")</x:f>
        <x:v>71</x:v>
      </x:c>
    </x:row>
    <x:row r="21">
      <x:c r="A21" t="str">
        <x:v>DramaWave</x:v>
      </x:c>
      <x:c r="B21" s="38" t="n">
        <x:f>COUNTIF('01_FINAL_LIBRARY'!C2:C1000,"DramaWave")</x:f>
        <x:v>60</x:v>
      </x:c>
      <x:c r="C21" s="38" t="n">
        <x:f>COUNTIFS('01_FINAL_LIBRARY'!C2:C1000,"DramaWave",'01_FINAL_LIBRARY'!J2:J1000,"&lt;&gt;Not flagged")</x:f>
        <x:v>10</x:v>
      </x:c>
      <x:c r="D21" s="38" t="n">
        <x:f>COUNTIFS('01_FINAL_LIBRARY'!C2:C1000,"DramaWave",'01_FINAL_LIBRARY'!D2:D1000,"Supplement_DOCX")</x:f>
        <x:v>16</x:v>
      </x:c>
      <x:c r="E21" s="38" t="n">
        <x:f>COUNTIFS('01_FINAL_LIBRARY'!C2:C1000,"DramaWave",'01_FINAL_LIBRARY'!U2:U1000,"A_Core")</x:f>
        <x:v>6</x:v>
      </x:c>
    </x:row>
    <x:row r="24">
      <x:c r="A24" s="32" t="str">
        <x:v>Replacement Validation Summary</x:v>
      </x:c>
      <x:c r="B24" s="32" t="str"/>
      <x:c r="C24" s="32" t="str"/>
      <x:c r="D24" t="str"/>
      <x:c r="E24" t="str"/>
      <x:c r="F24" t="str"/>
      <x:c r="G24" t="str"/>
      <x:c r="H24" t="str"/>
    </x:row>
    <x:row r="25">
      <x:c r="A25" s="6" t="str">
        <x:v>Decision</x:v>
      </x:c>
      <x:c r="B25" s="6" t="str">
        <x:v>Count</x:v>
      </x:c>
      <x:c r="C25" s="6" t="str">
        <x:v>읽는 법</x:v>
      </x:c>
      <x:c r="D25" t="str"/>
      <x:c r="E25" t="str"/>
      <x:c r="F25" t="str"/>
      <x:c r="G25" t="str"/>
      <x:c r="H25" t="str"/>
    </x:row>
    <x:row r="26">
      <x:c r="A26" t="str">
        <x:v>MERGE / reinforce existing row</x:v>
      </x:c>
      <x:c r="B26" t="n">
        <x:f>COUNTIF('02_REPLACEMENT_VALIDATION'!E2:E500,"MERGE / reinforce existing row")</x:f>
        <x:v>8</x:v>
      </x:c>
      <x:c r="C26" t="str">
        <x:v>현행 행 유지, 성과/출처 보강</x:v>
      </x:c>
    </x:row>
    <x:row r="27">
      <x:c r="A27" t="str">
        <x:v>ADD + optional replace weak slot</x:v>
      </x:c>
      <x:c r="B27" t="n">
        <x:f>COUNTIF('02_REPLACEMENT_VALIDATION'!E2:E500,"ADD + optional replace weak slot")</x:f>
        <x:v>50</x:v>
      </x:c>
      <x:c r="C27" t="str">
        <x:v>라이브러리는 추가, quota가 있으면 약한 현행 슬롯과 교체 검토</x:v>
      </x:c>
    </x:row>
    <x:row r="28">
      <x:c r="A28" t="str">
        <x:v>ADD as supplemental reference</x:v>
      </x:c>
      <x:c r="B28" t="n">
        <x:f>COUNTIF('02_REPLACEMENT_VALIDATION'!E2:E500,"ADD as supplemental reference")</x:f>
        <x:v>13</x:v>
      </x:c>
      <x:c r="C28" t="str">
        <x:v>직접 교체 근거 부족, 참고 행으로 보존</x:v>
      </x:c>
    </x:row>
    <x:row r="29">
      <x:c r="A29" t="str">
        <x:v>ADD as repeated/realigned month</x:v>
      </x:c>
      <x:c r="B29" t="n">
        <x:f>COUNTIF('02_REPLACEMENT_VALIDATION'!E2:E500,"ADD as repeated/realigned month")</x:f>
        <x:v>4</x:v>
      </x:c>
      <x:c r="C29" t="str">
        <x:v>동일 타이틀 월 보정/반복 편성 후보</x:v>
      </x:c>
    </x:row>
    <x:row r="32">
      <x:c r="A32" s="32" t="str">
        <x:v>Hard Rules for Using This Library</x:v>
      </x:c>
      <x:c r="B32" s="32" t="str"/>
      <x:c r="C32" s="32" t="str"/>
      <x:c r="D32" s="32" t="str"/>
      <x:c r="E32" s="32" t="str"/>
      <x:c r="F32" s="32" t="str"/>
      <x:c r="G32" s="32" t="str"/>
      <x:c r="H32" s="32" t="str"/>
    </x:row>
    <x:row r="33">
      <x:c r="A33" s="12" t="str">
        <x:v>1</x:v>
      </x:c>
      <x:c r="B33" s="12" t="str">
        <x:v>Official platform/source URL 없으면 A_Core로 승격 금지. 단, 강한 커뮤니티/광고 신호는 C/B까지 가능.</x:v>
      </x:c>
      <x:c r="C33" s="12" t="str"/>
      <x:c r="D33" s="12" t="str"/>
      <x:c r="E33" s="12" t="str"/>
      <x:c r="F33" s="12" t="str"/>
      <x:c r="G33" s="12" t="str"/>
      <x:c r="H33" s="12" t="str"/>
    </x:row>
    <x:row r="34">
      <x:c r="A34" s="12" t="str">
        <x:v>2</x:v>
      </x:c>
      <x:c r="B34" s="12" t="str">
        <x:v>AIGC 표기는 Direct/Explicit AI, AIGC candidate, AI-theme only를 분리. AI 소재와 AI 제작을 혼동하지 말 것.</x:v>
      </x:c>
      <x:c r="C34" s="12" t="str"/>
      <x:c r="D34" s="12" t="str"/>
      <x:c r="E34" s="12" t="str"/>
      <x:c r="F34" s="12" t="str"/>
      <x:c r="G34" s="12" t="str"/>
      <x:c r="H34" s="12" t="str"/>
    </x:row>
    <x:row r="35">
      <x:c r="A35" s="12" t="str">
        <x:v>3</x:v>
      </x:c>
      <x:c r="B35" s="12" t="str">
        <x:v>보강자료는 월간 공식 랭킹이 아니라 공개근거 기반 큐레이션이다. 따라서 기존행 삭제보다 병합/추가/교체후보 표기를 우선.</x:v>
      </x:c>
      <x:c r="C35" s="12" t="str"/>
      <x:c r="D35" s="12" t="str"/>
      <x:c r="E35" s="12" t="str"/>
      <x:c r="F35" s="12" t="str"/>
      <x:c r="G35" s="12" t="str"/>
      <x:c r="H35" s="12" t="str"/>
    </x:row>
    <x:row r="36">
      <x:c r="A36" s="12" t="str">
        <x:v>4</x:v>
      </x:c>
      <x:c r="B36" s="12" t="str">
        <x:v>기획 참조 시 title 자체보다 desire_engine, conversion_engine, aigc_leverage를 우선 읽을 것.</x:v>
      </x:c>
      <x:c r="C36" s="12" t="str"/>
      <x:c r="D36" s="12" t="str"/>
      <x:c r="E36" s="12" t="str"/>
      <x:c r="F36" s="12" t="str"/>
      <x:c r="G36" s="12" t="str"/>
      <x:c r="H36" s="12" t="str"/>
    </x:row>
  </x:sheetData>
  <x:conditionalFormatting sqref="B7:B13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{AB230099-8BD5-F744-4011-B2601B6D21D7}</x14:id>
        </x:ext>
      </x:extLst>
    </x:cfRule>
  </x:conditionalFormatting>
  <x:conditionalFormatting sqref="B17:E21">
    <x:cfRule type="colorScale" priority="2">
      <x:colorScale>
        <x:cfvo type="min"/>
        <x:cfvo type="percentile" val="50"/>
        <x:cfvo type="max"/>
        <x:color rgb="F8FAFC"/>
        <x:color rgb="FEF3C7"/>
        <x:color rgb="DCFC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230099-8BD5-F744-4011-B2601B6D21D7}">
            <x14:dataBar gradient="1">
              <x14:cfvo type="min"/>
              <x14:cfvo type="max"/>
              <x14:fillColor rgb="64748B"/>
            </x14:dataBar>
          </x14:cfRule>
          <xm:sqref>B7:B13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0" hidden="0" customWidth="1"/>
    <x:col min="5" max="5" width="9" hidden="0" customWidth="1"/>
    <x:col min="6" max="6" width="20" hidden="0" customWidth="1"/>
    <x:col min="7" max="7" width="30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  <x:col min="13" max="13" width="28" hidden="0" customWidth="1"/>
    <x:col min="14" max="14" width="36" hidden="0" customWidth="1"/>
    <x:col min="15" max="15" width="36" hidden="0" customWidth="1"/>
    <x:col min="16" max="16" width="42" hidden="0" customWidth="1"/>
    <x:col min="17" max="17" width="34" hidden="0" customWidth="1"/>
    <x:col min="18" max="18" width="40" hidden="0" customWidth="1"/>
    <x:col min="19" max="19" width="18" hidden="0" customWidth="1"/>
    <x:col min="20" max="20" width="12" hidden="0" customWidth="1"/>
    <x:col min="21" max="21" width="12" hidden="0" customWidth="1"/>
    <x:col min="22" max="22" width="30" hidden="0" customWidth="1"/>
    <x:col min="23" max="23" width="34" hidden="0" customWidth="1"/>
    <x:col min="24" max="24" width="42" hidden="0" customWidth="1"/>
    <x:col min="25" max="25" width="48" hidden="0" customWidth="1"/>
    <x:col min="26" max="26" width="34" hidden="0" customWidth="1"/>
  </x:cols>
  <x:sheetData>
    <x:row r="1">
      <x:c r="A1" s="14" t="str">
        <x:v>library_id</x:v>
      </x:c>
      <x:c r="B1" s="14" t="str">
        <x:v>month</x:v>
      </x:c>
      <x:c r="C1" s="14" t="str">
        <x:v>platform</x:v>
      </x:c>
      <x:c r="D1" s="14" t="str">
        <x:v>source_origin</x:v>
      </x:c>
      <x:c r="E1" s="14" t="str">
        <x:v>slot_rank</x:v>
      </x:c>
      <x:c r="F1" s="14" t="str">
        <x:v>merge_status</x:v>
      </x:c>
      <x:c r="G1" s="14" t="str">
        <x:v>title</x:v>
      </x:c>
      <x:c r="H1" s="14" t="str">
        <x:v>clean_title</x:v>
      </x:c>
      <x:c r="I1" s="14" t="str">
        <x:v>format_aigc_flag</x:v>
      </x:c>
      <x:c r="J1" s="14" t="str">
        <x:v>aigc_status</x:v>
      </x:c>
      <x:c r="K1" s="14" t="str">
        <x:v>target_bucket</x:v>
      </x:c>
      <x:c r="L1" s="14" t="str">
        <x:v>genre_trope</x:v>
      </x:c>
      <x:c r="M1" s="14" t="str">
        <x:v>desire_engine</x:v>
      </x:c>
      <x:c r="N1" s="14" t="str">
        <x:v>conversion_engine</x:v>
      </x:c>
      <x:c r="O1" s="14" t="str">
        <x:v>aigc_leverage</x:v>
      </x:c>
      <x:c r="P1" s="14" t="str">
        <x:v>logline</x:v>
      </x:c>
      <x:c r="Q1" s="14" t="str">
        <x:v>reaction_signal</x:v>
      </x:c>
      <x:c r="R1" s="14" t="str">
        <x:v>performance_signal</x:v>
      </x:c>
      <x:c r="S1" s="14" t="str">
        <x:v>evidence_tier</x:v>
      </x:c>
      <x:c r="T1" s="14" t="str">
        <x:v>evidence_score</x:v>
      </x:c>
      <x:c r="U1" s="14" t="str">
        <x:v>priority</x:v>
      </x:c>
      <x:c r="V1" s="14" t="str">
        <x:v>replacement_action</x:v>
      </x:c>
      <x:c r="W1" s="14" t="str">
        <x:v>replace_with_or_target</x:v>
      </x:c>
      <x:c r="X1" s="14" t="str">
        <x:v>validation_note</x:v>
      </x:c>
      <x:c r="Y1" s="14" t="str">
        <x:v>source_urls</x:v>
      </x:c>
      <x:c r="Z1" s="14" t="str">
        <x:v>research_next_step</x:v>
      </x:c>
    </x:row>
    <x:row r="2">
      <x:c r="A2" s="15" t="str">
        <x:v>L0001</x:v>
      </x:c>
      <x:c r="B2" s="15" t="str">
        <x:v>2025-06</x:v>
      </x:c>
      <x:c r="C2" s="15" t="str">
        <x:v>NetShort</x:v>
      </x:c>
      <x:c r="D2" s="15" t="str">
        <x:v>Base_XLSX</x:v>
      </x:c>
      <x:c r="E2" s="15" t="n">
        <x:v>1</x:v>
      </x:c>
      <x:c r="F2" s="15" t="str">
        <x:v>Base only</x:v>
      </x:c>
      <x:c r="G2" s="15" t="str">
        <x:v>When Love Runs Out</x:v>
      </x:c>
      <x:c r="H2" s="15" t="str">
        <x:v>When Love Runs Out</x:v>
      </x:c>
      <x:c r="I2" s="15" t="str">
        <x:v>Live-action/dubbed; AIGC not flagged</x:v>
      </x:c>
      <x:c r="J2" s="15" t="str">
        <x:v>Not flagged</x:v>
      </x:c>
      <x:c r="K2" s="15" t="str">
        <x:v>Male / Power fantasy</x:v>
      </x:c>
      <x:c r="L2" s="15" t="str">
        <x:v>Urban Life / Return King / All-Too-Late</x:v>
      </x:c>
      <x:c r="M2" s="15" t="str">
        <x:v>Hidden-identity reveal + Revenge/regret payoff + High-status partner/authority</x:v>
      </x:c>
      <x:c r="N2" s="15" t="str">
        <x:v>무료부에서는 결핍과 예고, 유료부에서는 보상/진실/역전</x:v>
      </x:c>
      <x:c r="O2" s="15" t="str">
        <x:v>Medium: 광고 컷·후킹 이미지 보강용</x:v>
      </x:c>
      <x:c r="P2" s="15" t="str">
        <x:v>버려지고 뒤늦게 진실이 드러나는 all-too-late/return king 계열.</x:v>
      </x:c>
      <x:c r="Q2" s="15" t="str">
        <x:v>공식 페이지 기준 신작·장르 태그 확인.</x:v>
      </x:c>
      <x:c r="R2" s="15" t="str">
        <x:v>Release date 2025-06-02.</x:v>
      </x:c>
      <x:c r="S2" s="15" t="str">
        <x:v>B / Useful verified</x:v>
      </x:c>
      <x:c r="T2" s="18" t="n">
        <x:v>73</x:v>
      </x:c>
      <x:c r="U2" s="15" t="str">
        <x:v>B_Strong</x:v>
      </x:c>
      <x:c r="V2" s="15" t="str">
        <x:v>KEEP</x:v>
      </x:c>
      <x:c r="W2" s="15" t="str"/>
      <x:c r="X2" s="15" t="str"/>
      <x:c r="Y2" s="15" t="str">
        <x:v>https://netshort.com/hotseries/when-love-runs-out-new-1934211717313429506</x:v>
      </x:c>
      <x:c r="Z2" s="15" t="str"/>
    </x:row>
    <x:row r="3">
      <x:c r="A3" s="15" t="str">
        <x:v>L0002</x:v>
      </x:c>
      <x:c r="B3" s="15" t="str">
        <x:v>2025-06</x:v>
      </x:c>
      <x:c r="C3" s="15" t="str">
        <x:v>NetShort</x:v>
      </x:c>
      <x:c r="D3" s="15" t="str">
        <x:v>Base_XLSX</x:v>
      </x:c>
      <x:c r="E3" s="15" t="n">
        <x:v>2</x:v>
      </x:c>
      <x:c r="F3" s="15" t="str">
        <x:v>Base only</x:v>
      </x:c>
      <x:c r="G3" s="15" t="str">
        <x:v>Mommy's Billionaire Blessing</x:v>
      </x:c>
      <x:c r="H3" s="15" t="str">
        <x:v>Mommy's Billionaire Blessing</x:v>
      </x:c>
      <x:c r="I3" s="15" t="str">
        <x:v>Live-action/dubbed; AIGC not flagged</x:v>
      </x:c>
      <x:c r="J3" s="15" t="str">
        <x:v>Not flagged</x:v>
      </x:c>
      <x:c r="K3" s="15" t="str">
        <x:v>Female / Family-romance</x:v>
      </x:c>
      <x:c r="L3" s="15" t="str">
        <x:v>Love After Marriage / Multiple Identity / Blind Date</x:v>
      </x:c>
      <x:c r="M3" s="15" t="str">
        <x:v>Hidden-identity reveal + High-status partner/authority + Child/family reunion</x:v>
      </x:c>
      <x:c r="N3" s="15" t="str">
        <x:v>정체/권력 공개 직전까지 결핍·오해를 누적</x:v>
      </x:c>
      <x:c r="O3" s="15" t="str">
        <x:v>Medium: 아이/가족 감정은 직관화하되 섬세한 연기는 과신 금지</x:v>
      </x:c>
      <x:c r="P3" s="15" t="str">
        <x:v>블라인드 데이트와 숨겨진 정체가 결합된 싱글맘/부자 축복형 로맨스.</x:v>
      </x:c>
      <x:c r="Q3" s="15" t="str">
        <x:v>공식 페이지 기준 신작·장르 태그 확인.</x:v>
      </x:c>
      <x:c r="R3" s="15" t="str">
        <x:v>Release date 2025-06-06.</x:v>
      </x:c>
      <x:c r="S3" s="15" t="str">
        <x:v>B / Useful verified</x:v>
      </x:c>
      <x:c r="T3" s="18" t="n">
        <x:v>73</x:v>
      </x:c>
      <x:c r="U3" s="15" t="str">
        <x:v>B_Strong</x:v>
      </x:c>
      <x:c r="V3" s="15" t="str">
        <x:v>KEEP</x:v>
      </x:c>
      <x:c r="W3" s="15" t="str"/>
      <x:c r="X3" s="15" t="str"/>
      <x:c r="Y3" s="15" t="str">
        <x:v>https://netshort.com/hotseries/mommys-billionaire-blessing-new-1935722649839874050</x:v>
      </x:c>
      <x:c r="Z3" s="15" t="str"/>
    </x:row>
    <x:row r="4">
      <x:c r="A4" s="15" t="str">
        <x:v>L0003</x:v>
      </x:c>
      <x:c r="B4" s="15" t="str">
        <x:v>2025-06</x:v>
      </x:c>
      <x:c r="C4" s="15" t="str">
        <x:v>NetShort</x:v>
      </x:c>
      <x:c r="D4" s="15" t="str">
        <x:v>Base_XLSX</x:v>
      </x:c>
      <x:c r="E4" s="15" t="n">
        <x:v>3</x:v>
      </x:c>
      <x:c r="F4" s="15" t="str">
        <x:v>Base only</x:v>
      </x:c>
      <x:c r="G4" s="15" t="str">
        <x:v>Rise From the Ashes</x:v>
      </x:c>
      <x:c r="H4" s="15" t="str">
        <x:v>Rise From the Ashes</x:v>
      </x:c>
      <x:c r="I4" s="15" t="str">
        <x:v>Live-action/dubbed; AIGC not flagged</x:v>
      </x:c>
      <x:c r="J4" s="15" t="str">
        <x:v>Not flagged</x:v>
      </x:c>
      <x:c r="K4" s="15" t="str">
        <x:v>Family regret / mixed</x:v>
      </x:c>
      <x:c r="L4" s="15" t="str">
        <x:v>Karma Payback / Multiple Identity / Campus</x:v>
      </x:c>
      <x:c r="M4" s="15" t="str">
        <x:v>Hidden-identity reveal + Revenge/regret payoff + Child/family reunion</x:v>
      </x:c>
      <x:c r="N4" s="15" t="str">
        <x:v>정체/권력 공개 직전까지 결핍·오해를 누적</x:v>
      </x:c>
      <x:c r="O4" s="15" t="str">
        <x:v>Medium: 아이/가족 감정은 직관화하되 섬세한 연기는 과신 금지</x:v>
      </x:c>
      <x:c r="P4" s="15" t="str">
        <x:v>모욕당한 인물이 되돌아와 캠퍼스/가족 권력관계를 뒤집는 복수극.</x:v>
      </x:c>
      <x:c r="Q4" s="15" t="str">
        <x:v>공식 페이지 기준 신작·장르 태그 확인.</x:v>
      </x:c>
      <x:c r="R4" s="15" t="str">
        <x:v>Release date 2025-06-27.</x:v>
      </x:c>
      <x:c r="S4" s="15" t="str">
        <x:v>B / Useful verified</x:v>
      </x:c>
      <x:c r="T4" s="18" t="n">
        <x:v>73</x:v>
      </x:c>
      <x:c r="U4" s="15" t="str">
        <x:v>B_Strong</x:v>
      </x:c>
      <x:c r="V4" s="15" t="str">
        <x:v>KEEP</x:v>
      </x:c>
      <x:c r="W4" s="15" t="str"/>
      <x:c r="X4" s="15" t="str"/>
      <x:c r="Y4" s="15" t="str">
        <x:v>https://netshort.com/hotseries/rise-from-the-ashes-new-1944006025992032258</x:v>
      </x:c>
      <x:c r="Z4" s="15" t="str"/>
    </x:row>
    <x:row r="5">
      <x:c r="A5" s="15" t="str">
        <x:v>L0004</x:v>
      </x:c>
      <x:c r="B5" s="15" t="str">
        <x:v>2025-07</x:v>
      </x:c>
      <x:c r="C5" s="15" t="str">
        <x:v>NetShort</x:v>
      </x:c>
      <x:c r="D5" s="15" t="str">
        <x:v>Base_XLSX</x:v>
      </x:c>
      <x:c r="E5" s="15" t="n">
        <x:v>1</x:v>
      </x:c>
      <x:c r="F5" s="15" t="str">
        <x:v>Base only</x:v>
      </x:c>
      <x:c r="G5" s="15" t="str">
        <x:v>Until I Forget You</x:v>
      </x:c>
      <x:c r="H5" s="15" t="str">
        <x:v>Until I Forget You</x:v>
      </x:c>
      <x:c r="I5" s="15" t="str">
        <x:v>Live-action/dubbed; AIGC not flagged</x:v>
      </x:c>
      <x:c r="J5" s="15" t="str">
        <x:v>Not flagged</x:v>
      </x:c>
      <x:c r="K5" s="15" t="str">
        <x:v>Family regret / mixed</x:v>
      </x:c>
      <x:c r="L5" s="15" t="str">
        <x:v>Men Coming-of-Age / All-Too-Late</x:v>
      </x:c>
      <x:c r="M5" s="15" t="str">
        <x:v>Revenge/regret payoff + Child/family reunion</x:v>
      </x:c>
      <x:c r="N5" s="15" t="str">
        <x:v>무료부에서는 결핍과 예고, 유료부에서는 보상/진실/역전</x:v>
      </x:c>
      <x:c r="O5" s="15" t="str">
        <x:v>Medium: 아이/가족 감정은 직관화하되 섬세한 연기는 과신 금지</x:v>
      </x:c>
      <x:c r="P5" s="15" t="str">
        <x:v>가족·공장·알츠하이머/기억 상실을 결합한 후회형 가족극.</x:v>
      </x:c>
      <x:c r="Q5" s="15" t="str">
        <x:v>공식 페이지 기준 신작·장르 태그 확인.</x:v>
      </x:c>
      <x:c r="R5" s="15" t="str">
        <x:v>Release date 2025-07-17.</x:v>
      </x:c>
      <x:c r="S5" s="15" t="str">
        <x:v>B / Useful verified</x:v>
      </x:c>
      <x:c r="T5" s="18" t="n">
        <x:v>73</x:v>
      </x:c>
      <x:c r="U5" s="15" t="str">
        <x:v>B_Strong</x:v>
      </x:c>
      <x:c r="V5" s="15" t="str">
        <x:v>KEEP</x:v>
      </x:c>
      <x:c r="W5" s="15" t="str"/>
      <x:c r="X5" s="15" t="str"/>
      <x:c r="Y5" s="15" t="str">
        <x:v>https://netshort.com/hotseries/until-i-forget-you-new-1951253989045284866</x:v>
      </x:c>
      <x:c r="Z5" s="15" t="str"/>
    </x:row>
    <x:row r="6">
      <x:c r="A6" s="15" t="str">
        <x:v>L0005</x:v>
      </x:c>
      <x:c r="B6" s="15" t="str">
        <x:v>2025-07</x:v>
      </x:c>
      <x:c r="C6" s="15" t="str">
        <x:v>NetShort</x:v>
      </x:c>
      <x:c r="D6" s="15" t="str">
        <x:v>Base_XLSX</x:v>
      </x:c>
      <x:c r="E6" s="15" t="n">
        <x:v>2</x:v>
      </x:c>
      <x:c r="F6" s="15" t="str">
        <x:v>Base only</x:v>
      </x:c>
      <x:c r="G6" s="15" t="str">
        <x:v>Queen of the Vine</x:v>
      </x:c>
      <x:c r="H6" s="15" t="str">
        <x:v>Queen of the Vine</x:v>
      </x:c>
      <x:c r="I6" s="15" t="str">
        <x:v>Live-action/dubbed; AIGC not flagged</x:v>
      </x:c>
      <x:c r="J6" s="15" t="str">
        <x:v>Not flagged</x:v>
      </x:c>
      <x:c r="K6" s="15" t="str">
        <x:v>Family regret / mixed</x:v>
      </x:c>
      <x:c r="L6" s="15" t="str">
        <x:v>Female Empowerment / Business / Revenge</x:v>
      </x:c>
      <x:c r="M6" s="15" t="str">
        <x:v>Revenge/regret payoff + Child/family reunion</x:v>
      </x:c>
      <x:c r="N6" s="15" t="str">
        <x:v>굴욕/배신 후 첫 반격을 예고하고 본격 응징은 지연</x:v>
      </x:c>
      <x:c r="O6" s="15" t="str">
        <x:v>Medium: 아이/가족 감정은 직관화하되 섬세한 연기는 과신 금지</x:v>
      </x:c>
      <x:c r="P6" s="15" t="str">
        <x:v>여성 주인공이 와인/사업·가족 권력에서 주도권을 되찾는 계열.</x:v>
      </x:c>
      <x:c r="Q6" s="15" t="str">
        <x:v>공식 페이지 기준 신작·장르 태그 확인.</x:v>
      </x:c>
      <x:c r="R6" s="15" t="str">
        <x:v>Release date 2025-07-16.</x:v>
      </x:c>
      <x:c r="S6" s="15" t="str">
        <x:v>B / Useful verified</x:v>
      </x:c>
      <x:c r="T6" s="18" t="n">
        <x:v>73</x:v>
      </x:c>
      <x:c r="U6" s="15" t="str">
        <x:v>B_Strong</x:v>
      </x:c>
      <x:c r="V6" s="15" t="str">
        <x:v>KEEP</x:v>
      </x:c>
      <x:c r="W6" s="15" t="str"/>
      <x:c r="X6" s="15" t="str"/>
      <x:c r="Y6" s="15" t="str">
        <x:v>https://netshort.com/hotseries/queen-of-the-vine-new-1950887525930582018</x:v>
      </x:c>
      <x:c r="Z6" s="15" t="str"/>
    </x:row>
    <x:row r="7">
      <x:c r="A7" s="15" t="str">
        <x:v>L0006</x:v>
      </x:c>
      <x:c r="B7" s="15" t="str">
        <x:v>2025-07</x:v>
      </x:c>
      <x:c r="C7" s="15" t="str">
        <x:v>NetShort</x:v>
      </x:c>
      <x:c r="D7" s="15" t="str">
        <x:v>Base_XLSX</x:v>
      </x:c>
      <x:c r="E7" s="15" t="n">
        <x:v>3</x:v>
      </x:c>
      <x:c r="F7" s="15" t="str">
        <x:v>Base only</x:v>
      </x:c>
      <x:c r="G7" s="15" t="str">
        <x:v>Oops, My Toyboy is a Heir</x:v>
      </x:c>
      <x:c r="H7" s="15" t="str">
        <x:v>Oops, My Toyboy is a Heir</x:v>
      </x:c>
      <x:c r="I7" s="15" t="str">
        <x:v>Live-action/dubbed; AIGC not flagged</x:v>
      </x:c>
      <x:c r="J7" s="15" t="str">
        <x:v>Not flagged</x:v>
      </x:c>
      <x:c r="K7" s="15" t="str">
        <x:v>Female / Romance</x:v>
      </x:c>
      <x:c r="L7" s="15" t="str">
        <x:v>Age Gap / One-Night Stand / Sweet Romance</x:v>
      </x:c>
      <x:c r="M7" s="15" t="str">
        <x:v>Hidden-identity reveal</x:v>
      </x:c>
      <x:c r="N7" s="15" t="str">
        <x:v>정체/권력 공개 직전까지 결핍·오해를 누적</x:v>
      </x:c>
      <x:c r="O7" s="15" t="str">
        <x:v>Medium: 광고 컷·후킹 이미지 보강용</x:v>
      </x:c>
      <x:c r="P7" s="15" t="str">
        <x:v>연하남이 사실 상속자라는 반전으로 밀어붙이는 달콤한 age-gap 로맨스.</x:v>
      </x:c>
      <x:c r="Q7" s="15" t="str">
        <x:v>공식 페이지 기준 신작·장르 태그 확인.</x:v>
      </x:c>
      <x:c r="R7" s="15" t="str">
        <x:v>Release date 2025-07-28.</x:v>
      </x:c>
      <x:c r="S7" s="15" t="str">
        <x:v>B / Useful verified</x:v>
      </x:c>
      <x:c r="T7" s="18" t="n">
        <x:v>73</x:v>
      </x:c>
      <x:c r="U7" s="15" t="str">
        <x:v>B_Strong</x:v>
      </x:c>
      <x:c r="V7" s="15" t="str">
        <x:v>KEEP</x:v>
      </x:c>
      <x:c r="W7" s="15" t="str"/>
      <x:c r="X7" s="15" t="str"/>
      <x:c r="Y7" s="15" t="str">
        <x:v>https://netshort.com/hotseries/oops-my-toyboy-is-a-heir-new-1955299117348085762</x:v>
      </x:c>
      <x:c r="Z7" s="15" t="str"/>
    </x:row>
    <x:row r="8">
      <x:c r="A8" s="15" t="str">
        <x:v>L0007</x:v>
      </x:c>
      <x:c r="B8" s="15" t="str">
        <x:v>2025-08</x:v>
      </x:c>
      <x:c r="C8" s="15" t="str">
        <x:v>NetShort</x:v>
      </x:c>
      <x:c r="D8" s="15" t="str">
        <x:v>Base_XLSX</x:v>
      </x:c>
      <x:c r="E8" s="15" t="n">
        <x:v>1</x:v>
      </x:c>
      <x:c r="F8" s="15" t="str">
        <x:v>Base only</x:v>
      </x:c>
      <x:c r="G8" s="15" t="str">
        <x:v>Dumped Me Pregnant? Pay Up Mr Crazy</x:v>
      </x:c>
      <x:c r="H8" s="15" t="str">
        <x:v>Dumped Me Pregnant? Pay Up Mr Crazy</x:v>
      </x:c>
      <x:c r="I8" s="15" t="str">
        <x:v>Live-action/dubbed; AIGC not flagged</x:v>
      </x:c>
      <x:c r="J8" s="15" t="str">
        <x:v>Not flagged</x:v>
      </x:c>
      <x:c r="K8" s="15" t="str">
        <x:v>Family regret / mixed</x:v>
      </x:c>
      <x:c r="L8" s="15" t="str">
        <x:v>Pregnancy / Payback / Crazy Rich Male Lead</x:v>
      </x:c>
      <x:c r="M8" s="15" t="str">
        <x:v>Revenge/regret payoff + Child/family reunion</x:v>
      </x:c>
      <x:c r="N8" s="15" t="str">
        <x:v>굴욕/배신 후 첫 반격을 예고하고 본격 응징은 지연</x:v>
      </x:c>
      <x:c r="O8" s="15" t="str">
        <x:v>Medium: 아이/가족 감정은 직관화하되 섬세한 연기는 과신 금지</x:v>
      </x:c>
      <x:c r="P8" s="15" t="str">
        <x:v>임신·버림·부자 남주의 대가 지불 구조를 결합한 여성향 사이다.</x:v>
      </x:c>
      <x:c r="Q8" s="15" t="str">
        <x:v>공식 페이지 기준 신작·장르 태그 확인.</x:v>
      </x:c>
      <x:c r="R8" s="15" t="str">
        <x:v>Release date 2025-08-21.</x:v>
      </x:c>
      <x:c r="S8" s="15" t="str">
        <x:v>B / Useful verified</x:v>
      </x:c>
      <x:c r="T8" s="18" t="n">
        <x:v>73</x:v>
      </x:c>
      <x:c r="U8" s="15" t="str">
        <x:v>B_Strong</x:v>
      </x:c>
      <x:c r="V8" s="15" t="str">
        <x:v>KEEP</x:v>
      </x:c>
      <x:c r="W8" s="15" t="str"/>
      <x:c r="X8" s="15" t="str"/>
      <x:c r="Y8" s="15" t="str">
        <x:v>https://netshort.com/hotseries/dumped-me-pregnant-pay-up-mr-crazy-new-1963451447168299010</x:v>
      </x:c>
      <x:c r="Z8" s="15" t="str"/>
    </x:row>
    <x:row r="9">
      <x:c r="A9" s="15" t="str">
        <x:v>L0008</x:v>
      </x:c>
      <x:c r="B9" s="15" t="str">
        <x:v>2025-08</x:v>
      </x:c>
      <x:c r="C9" s="15" t="str">
        <x:v>NetShort</x:v>
      </x:c>
      <x:c r="D9" s="15" t="str">
        <x:v>Base_XLSX</x:v>
      </x:c>
      <x:c r="E9" s="15" t="n">
        <x:v>2</x:v>
      </x:c>
      <x:c r="F9" s="15" t="str">
        <x:v>Base only</x:v>
      </x:c>
      <x:c r="G9" s="15" t="str">
        <x:v>Married to a Hidden King</x:v>
      </x:c>
      <x:c r="H9" s="15" t="str">
        <x:v>Married to a Hidden King</x:v>
      </x:c>
      <x:c r="I9" s="15" t="str">
        <x:v>Live-action/dubbed; AIGC not flagged</x:v>
      </x:c>
      <x:c r="J9" s="15" t="str">
        <x:v>Not flagged</x:v>
      </x:c>
      <x:c r="K9" s="15" t="str">
        <x:v>Female / Romance</x:v>
      </x:c>
      <x:c r="L9" s="15" t="str">
        <x:v>Hidden Identity / Royalty / Marriage</x:v>
      </x:c>
      <x:c r="M9" s="15" t="str">
        <x:v>Hidden-identity reveal + High-status partner/authority</x:v>
      </x:c>
      <x:c r="N9" s="15" t="str">
        <x:v>정체/권력 공개 직전까지 결핍·오해를 누적</x:v>
      </x:c>
      <x:c r="O9" s="15" t="str">
        <x:v>Medium: 광고 컷·후킹 이미지 보강용</x:v>
      </x:c>
      <x:c r="P9" s="15" t="str">
        <x:v>결혼 상대가 숨겨진 왕/권력자라는 신분 반전 로맨스.</x:v>
      </x:c>
      <x:c r="Q9" s="15" t="str">
        <x:v>공식 페이지 기준 신작·장르 태그 확인.</x:v>
      </x:c>
      <x:c r="R9" s="15" t="str">
        <x:v>Release date 2025-08-29.</x:v>
      </x:c>
      <x:c r="S9" s="15" t="str">
        <x:v>B / Useful verified</x:v>
      </x:c>
      <x:c r="T9" s="18" t="n">
        <x:v>73</x:v>
      </x:c>
      <x:c r="U9" s="15" t="str">
        <x:v>B_Strong</x:v>
      </x:c>
      <x:c r="V9" s="15" t="str">
        <x:v>KEEP</x:v>
      </x:c>
      <x:c r="W9" s="15" t="str"/>
      <x:c r="X9" s="15" t="str"/>
      <x:c r="Y9" s="15" t="str">
        <x:v>https://netshort.com/hotseries/married-to-a-hidden-king-new-1966343145251192834</x:v>
      </x:c>
      <x:c r="Z9" s="15" t="str"/>
    </x:row>
    <x:row r="10">
      <x:c r="A10" s="15" t="str">
        <x:v>L0009</x:v>
      </x:c>
      <x:c r="B10" s="15" t="str">
        <x:v>2025-08</x:v>
      </x:c>
      <x:c r="C10" s="15" t="str">
        <x:v>NetShort</x:v>
      </x:c>
      <x:c r="D10" s="15" t="str">
        <x:v>Base_XLSX</x:v>
      </x:c>
      <x:c r="E10" s="15" t="n">
        <x:v>3</x:v>
      </x:c>
      <x:c r="F10" s="15" t="str">
        <x:v>Base only</x:v>
      </x:c>
      <x:c r="G10" s="15" t="str">
        <x:v>재벌의 위장 결혼</x:v>
      </x:c>
      <x:c r="H10" s="15" t="str">
        <x:v>재벌의 위장 결혼</x:v>
      </x:c>
      <x:c r="I10" s="15" t="str">
        <x:v>Live-action/dubbed; AIGC not flagged</x:v>
      </x:c>
      <x:c r="J10" s="15" t="str">
        <x:v>Not flagged</x:v>
      </x:c>
      <x:c r="K10" s="15" t="str">
        <x:v>Female / Romance</x:v>
      </x:c>
      <x:c r="L10" s="15" t="str">
        <x:v>Hidden Chaebol / Contract Marriage</x:v>
      </x:c>
      <x:c r="M10" s="15" t="str">
        <x:v>Hidden-identity reveal</x:v>
      </x:c>
      <x:c r="N10" s="15" t="str">
        <x:v>정체/권력 공개 직전까지 결핍·오해를 누적</x:v>
      </x:c>
      <x:c r="O10" s="15" t="str">
        <x:v>Medium: 광고 컷·후킹 이미지 보강용</x:v>
      </x:c>
      <x:c r="P10" s="15" t="str">
        <x:v>재벌이 정체를 숨긴 채 결혼 관계에 들어가는 한국어권/더빙 계열.</x:v>
      </x:c>
      <x:c r="Q10" s="15" t="str">
        <x:v>공식 페이지 기준 신작·장르 태그 확인.</x:v>
      </x:c>
      <x:c r="R10" s="15" t="str">
        <x:v>Release month 2025-08.</x:v>
      </x:c>
      <x:c r="S10" s="15" t="str">
        <x:v>C / Watch</x:v>
      </x:c>
      <x:c r="T10" s="18" t="n">
        <x:v>56</x:v>
      </x:c>
      <x:c r="U10" s="15" t="str">
        <x:v>C_Watch</x:v>
      </x:c>
      <x:c r="V10" s="15" t="str">
        <x:v>POSSIBLE_REPLACE_BY_SUPPLEMENT</x:v>
      </x:c>
      <x:c r="W10" s="15" t="str">
        <x:v>Counterattack Life</x:v>
      </x:c>
      <x:c r="X10" s="15" t="str">
        <x:v>동월·동플랫폼 보강자료 후보가 있고, 현행 행의 confidence가 Low라 교체 후보.</x:v>
      </x:c>
      <x:c r="Y10" s="15" t="str">
        <x:v>https://netshort.com/hotseries/married-to-a-hidden-king-new-1966343145251192834</x:v>
      </x:c>
      <x:c r="Z10" s="15" t="str">
        <x:v>공식 성과/광고 집행량 재확인.</x:v>
      </x:c>
    </x:row>
    <x:row r="11">
      <x:c r="A11" s="15" t="str">
        <x:v>L0010</x:v>
      </x:c>
      <x:c r="B11" s="15" t="str">
        <x:v>2025-09</x:v>
      </x:c>
      <x:c r="C11" s="15" t="str">
        <x:v>NetShort</x:v>
      </x:c>
      <x:c r="D11" s="15" t="str">
        <x:v>Base_XLSX</x:v>
      </x:c>
      <x:c r="E11" s="15" t="n">
        <x:v>1</x:v>
      </x:c>
      <x:c r="F11" s="15" t="str">
        <x:v>Base only</x:v>
      </x:c>
      <x:c r="G11" s="15" t="str">
        <x:v>CEO's No-No Clause</x:v>
      </x:c>
      <x:c r="H11" s="15" t="str">
        <x:v>CEO's No-No Clause</x:v>
      </x:c>
      <x:c r="I11" s="15" t="str">
        <x:v>Live-action/dubbed; AIGC not flagged</x:v>
      </x:c>
      <x:c r="J11" s="15" t="str">
        <x:v>Not flagged</x:v>
      </x:c>
      <x:c r="K11" s="15" t="str">
        <x:v>Female / Romance</x:v>
      </x:c>
      <x:c r="L11" s="15" t="str">
        <x:v>Modern Romance / Stolen Identity / CEO</x:v>
      </x:c>
      <x:c r="M11" s="15" t="str">
        <x:v>High-status partner/authority</x:v>
      </x:c>
      <x:c r="N11" s="15" t="str">
        <x:v>정체/권력 공개 직전까지 결핍·오해를 누적</x:v>
      </x:c>
      <x:c r="O11" s="15" t="str">
        <x:v>Medium-High: 압도적 외모·의상·공간 미감으로 실사형 보상 강화</x:v>
      </x:c>
      <x:c r="P11" s="15" t="str">
        <x:v>계약·금지 조항·도시 로맨스를 통한 직장/CEO 갈등극.</x:v>
      </x:c>
      <x:c r="Q11" s="15" t="str">
        <x:v>공식 페이지 기준 신작·장르 태그 확인.</x:v>
      </x:c>
      <x:c r="R11" s="15" t="str">
        <x:v>Release date 2025-09-18.</x:v>
      </x:c>
      <x:c r="S11" s="15" t="str">
        <x:v>B / Useful verified</x:v>
      </x:c>
      <x:c r="T11" s="18" t="n">
        <x:v>73</x:v>
      </x:c>
      <x:c r="U11" s="15" t="str">
        <x:v>B_Strong</x:v>
      </x:c>
      <x:c r="V11" s="15" t="str">
        <x:v>KEEP</x:v>
      </x:c>
      <x:c r="W11" s="15" t="str"/>
      <x:c r="X11" s="15" t="str"/>
      <x:c r="Y11" s="15" t="str">
        <x:v>https://netshort.com/hotseries/ceos-no-no-clause-new-1973614640404664321</x:v>
      </x:c>
      <x:c r="Z11" s="15" t="str"/>
    </x:row>
    <x:row r="12">
      <x:c r="A12" s="15" t="str">
        <x:v>L0011</x:v>
      </x:c>
      <x:c r="B12" s="15" t="str">
        <x:v>2025-09</x:v>
      </x:c>
      <x:c r="C12" s="15" t="str">
        <x:v>NetShort</x:v>
      </x:c>
      <x:c r="D12" s="15" t="str">
        <x:v>Base_XLSX</x:v>
      </x:c>
      <x:c r="E12" s="15" t="n">
        <x:v>2</x:v>
      </x:c>
      <x:c r="F12" s="15" t="str">
        <x:v>Base only</x:v>
      </x:c>
      <x:c r="G12" s="15" t="str">
        <x:v>How to Tame a Tiny Tycoon</x:v>
      </x:c>
      <x:c r="H12" s="15" t="str">
        <x:v>How to Tame a Tiny Tycoon</x:v>
      </x:c>
      <x:c r="I12" s="15" t="str">
        <x:v>Live-action/dubbed; AIGC not flagged</x:v>
      </x:c>
      <x:c r="J12" s="15" t="str">
        <x:v>Not flagged</x:v>
      </x:c>
      <x:c r="K12" s="15" t="str">
        <x:v>Female / Family-romance</x:v>
      </x:c>
      <x:c r="L12" s="15" t="str">
        <x:v>Enemies-to-Lovers / Childhood Sweethearts / Baby</x:v>
      </x:c>
      <x:c r="M12" s="15" t="str">
        <x:v>High-status partner/authority + Child/family reunion</x:v>
      </x:c>
      <x:c r="N12" s="15" t="str">
        <x:v>혈연/아이 진실을 반쯤 드러내고 대면·인정은 지연</x:v>
      </x:c>
      <x:c r="O12" s="15" t="str">
        <x:v>Medium: 아이/가족 감정은 직관화하되 섬세한 연기는 과신 금지</x:v>
      </x:c>
      <x:c r="P12" s="15" t="str">
        <x:v>어린 tycoon/아이 요소를 이용한 가족형 로맨틱 코미디.</x:v>
      </x:c>
      <x:c r="Q12" s="15" t="str">
        <x:v>공식 페이지 기준 신작·장르 태그 확인.</x:v>
      </x:c>
      <x:c r="R12" s="15" t="str">
        <x:v>Release date 2025-09-17.</x:v>
      </x:c>
      <x:c r="S12" s="15" t="str">
        <x:v>B / Useful verified</x:v>
      </x:c>
      <x:c r="T12" s="18" t="n">
        <x:v>73</x:v>
      </x:c>
      <x:c r="U12" s="15" t="str">
        <x:v>B_Strong</x:v>
      </x:c>
      <x:c r="V12" s="15" t="str">
        <x:v>KEEP</x:v>
      </x:c>
      <x:c r="W12" s="15" t="str"/>
      <x:c r="X12" s="15" t="str"/>
      <x:c r="Y12" s="15" t="str">
        <x:v>https://netshort.com/hotseries/how-to-tame-a-tiny-tycoon-new-1973251655561543682</x:v>
      </x:c>
      <x:c r="Z12" s="15" t="str"/>
    </x:row>
    <x:row r="13">
      <x:c r="A13" s="15" t="str">
        <x:v>L0012</x:v>
      </x:c>
      <x:c r="B13" s="15" t="str">
        <x:v>2025-09</x:v>
      </x:c>
      <x:c r="C13" s="15" t="str">
        <x:v>NetShort</x:v>
      </x:c>
      <x:c r="D13" s="15" t="str">
        <x:v>Base_XLSX</x:v>
      </x:c>
      <x:c r="E13" s="15" t="n">
        <x:v>3</x:v>
      </x:c>
      <x:c r="F13" s="15" t="str">
        <x:v>Base only</x:v>
      </x:c>
      <x:c r="G13" s="15" t="str">
        <x:v>Cheating Death</x:v>
      </x:c>
      <x:c r="H13" s="15" t="str">
        <x:v>Cheating Death</x:v>
      </x:c>
      <x:c r="I13" s="15" t="str">
        <x:v>Live-action/dubbed; AIGC not flagged</x:v>
      </x:c>
      <x:c r="J13" s="15" t="str">
        <x:v>Not flagged</x:v>
      </x:c>
      <x:c r="K13" s="15" t="str">
        <x:v>Female / Revenge-SFL</x:v>
      </x:c>
      <x:c r="L13" s="15" t="str">
        <x:v>Revenge / Karma Payback</x:v>
      </x:c>
      <x:c r="M13" s="15" t="str">
        <x:v>Revenge/regret payoff</x:v>
      </x:c>
      <x:c r="N13" s="15" t="str">
        <x:v>굴욕/배신 후 첫 반격을 예고하고 본격 응징은 지연</x:v>
      </x:c>
      <x:c r="O13" s="15" t="str">
        <x:v>Medium: 광고 컷·후킹 이미지 보강용</x:v>
      </x:c>
      <x:c r="P13" s="15" t="str">
        <x:v>죽음/배신을 피한 주인공의 복수 회귀형 사이다.</x:v>
      </x:c>
      <x:c r="Q13" s="15" t="str">
        <x:v>공식 페이지 기준 신작·장르 태그 확인.</x:v>
      </x:c>
      <x:c r="R13" s="15" t="str">
        <x:v>Release date 2025-09-10.</x:v>
      </x:c>
      <x:c r="S13" s="15" t="str">
        <x:v>B / Useful verified</x:v>
      </x:c>
      <x:c r="T13" s="18" t="n">
        <x:v>73</x:v>
      </x:c>
      <x:c r="U13" s="15" t="str">
        <x:v>B_Strong</x:v>
      </x:c>
      <x:c r="V13" s="15" t="str">
        <x:v>KEEP</x:v>
      </x:c>
      <x:c r="W13" s="15" t="str"/>
      <x:c r="X13" s="15" t="str"/>
      <x:c r="Y13" s="15" t="str">
        <x:v>https://netshort.com/hotseries/cheating-death-new-1970729154324680706</x:v>
      </x:c>
      <x:c r="Z13" s="15" t="str"/>
    </x:row>
    <x:row r="14">
      <x:c r="A14" s="15" t="str">
        <x:v>L0013</x:v>
      </x:c>
      <x:c r="B14" s="15" t="str">
        <x:v>2025-10</x:v>
      </x:c>
      <x:c r="C14" s="15" t="str">
        <x:v>NetShort</x:v>
      </x:c>
      <x:c r="D14" s="15" t="str">
        <x:v>Base_XLSX</x:v>
      </x:c>
      <x:c r="E14" s="15" t="n">
        <x:v>1</x:v>
      </x:c>
      <x:c r="F14" s="15" t="str">
        <x:v>Base only</x:v>
      </x:c>
      <x:c r="G14" s="15" t="str">
        <x:v>Crippled? No, I’m the Grandmaster!</x:v>
      </x:c>
      <x:c r="H14" s="15" t="str">
        <x:v>Crippled? No, I’m the Grandmaster!</x:v>
      </x:c>
      <x:c r="I14" s="15" t="str">
        <x:v>Live-action/dubbed; AIGC not flagged</x:v>
      </x:c>
      <x:c r="J14" s="15" t="str">
        <x:v>Not flagged</x:v>
      </x:c>
      <x:c r="K14" s="15" t="str">
        <x:v>Male / Power fantasy</x:v>
      </x:c>
      <x:c r="L14" s="15" t="str">
        <x:v>Eastern Fantasy / Karma Payback / Return King</x:v>
      </x:c>
      <x:c r="M14" s="15" t="str">
        <x:v>Hidden-identity reveal + Revenge/regret payoff + High-status partner/authority</x:v>
      </x:c>
      <x:c r="N14" s="15" t="str">
        <x:v>굴욕/배신 후 첫 반격을 예고하고 본격 응징은 지연</x:v>
      </x:c>
      <x:c r="O14" s="15" t="str">
        <x:v>Medium: 광고 컷·후킹 이미지 보강용</x:v>
      </x:c>
      <x:c r="P14" s="15" t="str">
        <x:v>장애/폐물 취급 받던 인물이 사실 최강 고수였다는 무협식 역전.</x:v>
      </x:c>
      <x:c r="Q14" s="15" t="str">
        <x:v>공식 페이지 리뷰 반응: 액션·전개 몰입 언급.</x:v>
      </x:c>
      <x:c r="R14" s="15" t="str">
        <x:v>Release date 2025-10-25.</x:v>
      </x:c>
      <x:c r="S14" s="15" t="str">
        <x:v>A / Strong verified</x:v>
      </x:c>
      <x:c r="T14" s="18" t="n">
        <x:v>88</x:v>
      </x:c>
      <x:c r="U14" s="15" t="str">
        <x:v>A_Core</x:v>
      </x:c>
      <x:c r="V14" s="15" t="str">
        <x:v>KEEP</x:v>
      </x:c>
      <x:c r="W14" s="15" t="str"/>
      <x:c r="X14" s="15" t="str"/>
      <x:c r="Y14" s="15" t="str">
        <x:v>https://netshort.com/hotseries/crippled-no-im-the-grandmaster-new-1984556604662091777</x:v>
      </x:c>
      <x:c r="Z14" s="15" t="str"/>
    </x:row>
    <x:row r="15">
      <x:c r="A15" s="15" t="str">
        <x:v>L0014</x:v>
      </x:c>
      <x:c r="B15" s="15" t="str">
        <x:v>2025-10</x:v>
      </x:c>
      <x:c r="C15" s="15" t="str">
        <x:v>NetShort</x:v>
      </x:c>
      <x:c r="D15" s="15" t="str">
        <x:v>Base_XLSX</x:v>
      </x:c>
      <x:c r="E15" s="15" t="n">
        <x:v>2</x:v>
      </x:c>
      <x:c r="F15" s="15" t="str">
        <x:v>Base only</x:v>
      </x:c>
      <x:c r="G15" s="15" t="str">
        <x:v>Behave Yourself, Princess! (Dubbed)</x:v>
      </x:c>
      <x:c r="H15" s="15" t="str">
        <x:v>Behave Yourself, Princess! (Dubbed)</x:v>
      </x:c>
      <x:c r="I15" s="15" t="str">
        <x:v>Live-action/dubbed; AIGC not flagged</x:v>
      </x:c>
      <x:c r="J15" s="15" t="str">
        <x:v>Not flagged</x:v>
      </x:c>
      <x:c r="K15" s="15" t="str">
        <x:v>Mixed / General</x:v>
      </x:c>
      <x:c r="L15" s="15" t="str">
        <x:v>Rebirth / One-Night Stand / Feel-Good</x:v>
      </x:c>
      <x:c r="M15" s="15" t="str">
        <x:v>Core melodrama hook</x:v>
      </x:c>
      <x:c r="N15" s="15" t="str">
        <x:v>무료부에서는 결핍과 예고, 유료부에서는 보상/진실/역전</x:v>
      </x:c>
      <x:c r="O15" s="15" t="str">
        <x:v>Medium: 광고 컷·후킹 이미지 보강용</x:v>
      </x:c>
      <x:c r="P15" s="15" t="str">
        <x:v>공주·회귀·원나잇 반전을 엮은 고대/로맨스 코미디.</x:v>
      </x:c>
      <x:c r="Q15" s="15" t="str">
        <x:v>공식 페이지 기준 신작·장르 태그 확인.</x:v>
      </x:c>
      <x:c r="R15" s="15" t="str">
        <x:v>Release date 2025-10-18.</x:v>
      </x:c>
      <x:c r="S15" s="15" t="str">
        <x:v>A / Strong verified</x:v>
      </x:c>
      <x:c r="T15" s="18" t="n">
        <x:v>88</x:v>
      </x:c>
      <x:c r="U15" s="15" t="str">
        <x:v>A_Core</x:v>
      </x:c>
      <x:c r="V15" s="15" t="str">
        <x:v>KEEP</x:v>
      </x:c>
      <x:c r="W15" s="15" t="str"/>
      <x:c r="X15" s="15" t="str"/>
      <x:c r="Y15" s="15" t="str">
        <x:v>https://netshort.com/hotseries/behave-yourself-princess-dubbed-new-1982009366707179521</x:v>
      </x:c>
      <x:c r="Z15" s="15" t="str"/>
    </x:row>
    <x:row r="16">
      <x:c r="A16" s="15" t="str">
        <x:v>L0015</x:v>
      </x:c>
      <x:c r="B16" s="15" t="str">
        <x:v>2025-10</x:v>
      </x:c>
      <x:c r="C16" s="15" t="str">
        <x:v>NetShort</x:v>
      </x:c>
      <x:c r="D16" s="15" t="str">
        <x:v>Base_XLSX</x:v>
      </x:c>
      <x:c r="E16" s="15" t="n">
        <x:v>3</x:v>
      </x:c>
      <x:c r="F16" s="15" t="str">
        <x:v>Base only</x:v>
      </x:c>
      <x:c r="G16" s="15" t="str">
        <x:v>Too Late to Come Back (Dubbed)</x:v>
      </x:c>
      <x:c r="H16" s="15" t="str">
        <x:v>Too Late to Come Back (Dubbed)</x:v>
      </x:c>
      <x:c r="I16" s="15" t="str">
        <x:v>Live-action/dubbed; AIGC not flagged</x:v>
      </x:c>
      <x:c r="J16" s="15" t="str">
        <x:v>Not flagged</x:v>
      </x:c>
      <x:c r="K16" s="15" t="str">
        <x:v>Female / Romance</x:v>
      </x:c>
      <x:c r="L16" s="15" t="str">
        <x:v>Modern Romance / Karma Payback / Independent Woman</x:v>
      </x:c>
      <x:c r="M16" s="15" t="str">
        <x:v>Revenge/regret payoff</x:v>
      </x:c>
      <x:c r="N16" s="15" t="str">
        <x:v>굴욕/배신 후 첫 반격을 예고하고 본격 응징은 지연</x:v>
      </x:c>
      <x:c r="O16" s="15" t="str">
        <x:v>Medium: 광고 컷·후킹 이미지 보강용</x:v>
      </x:c>
      <x:c r="P16" s="15" t="str">
        <x:v>뒤늦은 후회와 독립 여성의 이탈을 결합한 현대 로맨스.</x:v>
      </x:c>
      <x:c r="Q16" s="15" t="str">
        <x:v>공식 페이지 기준 신작·장르 태그 확인.</x:v>
      </x:c>
      <x:c r="R16" s="15" t="str">
        <x:v>Release date 2025-10-16.</x:v>
      </x:c>
      <x:c r="S16" s="15" t="str">
        <x:v>A / Strong verified</x:v>
      </x:c>
      <x:c r="T16" s="18" t="n">
        <x:v>88</x:v>
      </x:c>
      <x:c r="U16" s="15" t="str">
        <x:v>A_Core</x:v>
      </x:c>
      <x:c r="V16" s="15" t="str">
        <x:v>KEEP</x:v>
      </x:c>
      <x:c r="W16" s="15" t="str"/>
      <x:c r="X16" s="15" t="str"/>
      <x:c r="Y16" s="15" t="str">
        <x:v>https://netshort.com/hotseries/too-late-to-come-back-dubbed-new-1981209389333307394</x:v>
      </x:c>
      <x:c r="Z16" s="15" t="str"/>
    </x:row>
    <x:row r="17">
      <x:c r="A17" s="15" t="str">
        <x:v>L0016</x:v>
      </x:c>
      <x:c r="B17" s="15" t="str">
        <x:v>2025-11</x:v>
      </x:c>
      <x:c r="C17" s="15" t="str">
        <x:v>NetShort</x:v>
      </x:c>
      <x:c r="D17" s="15" t="str">
        <x:v>Base_XLSX</x:v>
      </x:c>
      <x:c r="E17" s="15" t="n">
        <x:v>1</x:v>
      </x:c>
      <x:c r="F17" s="15" t="str">
        <x:v>Base only</x:v>
      </x:c>
      <x:c r="G17" s="15" t="str">
        <x:v>Bye, Husband! My Protection’s Over</x:v>
      </x:c>
      <x:c r="H17" s="15" t="str">
        <x:v>Bye, Husband! My Protection’s Over</x:v>
      </x:c>
      <x:c r="I17" s="15" t="str">
        <x:v>Live-action/dubbed; AIGC not flagged</x:v>
      </x:c>
      <x:c r="J17" s="15" t="str">
        <x:v>Not flagged</x:v>
      </x:c>
      <x:c r="K17" s="15" t="str">
        <x:v>Female / Romance</x:v>
      </x:c>
      <x:c r="L17" s="15" t="str">
        <x:v>Karma Payback / All-Too-Late / Wish-Fulfillment</x:v>
      </x:c>
      <x:c r="M17" s="15" t="str">
        <x:v>Revenge/regret payoff</x:v>
      </x:c>
      <x:c r="N17" s="15" t="str">
        <x:v>굴욕/배신 후 첫 반격을 예고하고 본격 응징은 지연</x:v>
      </x:c>
      <x:c r="O17" s="15" t="str">
        <x:v>Medium: 광고 컷·후킹 이미지 보강용</x:v>
      </x:c>
      <x:c r="P17" s="15" t="str">
        <x:v>보호를 거둔 아내가 남편과 집안을 무너뜨리는 사이다 후회극.</x:v>
      </x:c>
      <x:c r="Q17" s="15" t="str">
        <x:v>공식 페이지 기준 신작·장르 태그 확인.</x:v>
      </x:c>
      <x:c r="R17" s="15" t="str">
        <x:v>Release date 2025-11-14.</x:v>
      </x:c>
      <x:c r="S17" s="15" t="str">
        <x:v>A / Strong verified</x:v>
      </x:c>
      <x:c r="T17" s="18" t="n">
        <x:v>88</x:v>
      </x:c>
      <x:c r="U17" s="15" t="str">
        <x:v>A_Core</x:v>
      </x:c>
      <x:c r="V17" s="15" t="str">
        <x:v>KEEP</x:v>
      </x:c>
      <x:c r="W17" s="15" t="str"/>
      <x:c r="X17" s="15" t="str"/>
      <x:c r="Y17" s="15" t="str">
        <x:v>https://netshort.com/hotseries/bye-husband-my-protections-over-new-1991620516111613953</x:v>
      </x:c>
      <x:c r="Z17" s="15" t="str"/>
    </x:row>
    <x:row r="18">
      <x:c r="A18" s="15" t="str">
        <x:v>L0017</x:v>
      </x:c>
      <x:c r="B18" s="15" t="str">
        <x:v>2025-11</x:v>
      </x:c>
      <x:c r="C18" s="15" t="str">
        <x:v>NetShort</x:v>
      </x:c>
      <x:c r="D18" s="15" t="str">
        <x:v>Base_XLSX</x:v>
      </x:c>
      <x:c r="E18" s="15" t="n">
        <x:v>2</x:v>
      </x:c>
      <x:c r="F18" s="15" t="str">
        <x:v>Base only</x:v>
      </x:c>
      <x:c r="G18" s="15" t="str">
        <x:v>Loved Him Once. Never Again</x:v>
      </x:c>
      <x:c r="H18" s="15" t="str">
        <x:v>Loved Him Once. Never Again</x:v>
      </x:c>
      <x:c r="I18" s="15" t="str">
        <x:v>Live-action/dubbed; AIGC not flagged</x:v>
      </x:c>
      <x:c r="J18" s="15" t="str">
        <x:v>Not flagged</x:v>
      </x:c>
      <x:c r="K18" s="15" t="str">
        <x:v>Female / Romance</x:v>
      </x:c>
      <x:c r="L18" s="15" t="str">
        <x:v>Mistaken Identity / All-Too-Late / One-Night Stand</x:v>
      </x:c>
      <x:c r="M18" s="15" t="str">
        <x:v>Revenge/regret payoff</x:v>
      </x:c>
      <x:c r="N18" s="15" t="str">
        <x:v>정체/권력 공개 직전까지 결핍·오해를 누적</x:v>
      </x:c>
      <x:c r="O18" s="15" t="str">
        <x:v>Medium: 광고 컷·후킹 이미지 보강용</x:v>
      </x:c>
      <x:c r="P18" s="15" t="str">
        <x:v>한 번 사랑했지만 다시는 돌아가지 않는 여성 이탈/후회 로맨스.</x:v>
      </x:c>
      <x:c r="Q18" s="15" t="str">
        <x:v>공식 페이지 기준 신작·장르 태그 확인.</x:v>
      </x:c>
      <x:c r="R18" s="15" t="str">
        <x:v>Release date 2025-11-25.</x:v>
      </x:c>
      <x:c r="S18" s="15" t="str">
        <x:v>A / Strong verified</x:v>
      </x:c>
      <x:c r="T18" s="18" t="n">
        <x:v>88</x:v>
      </x:c>
      <x:c r="U18" s="15" t="str">
        <x:v>A_Core</x:v>
      </x:c>
      <x:c r="V18" s="15" t="str">
        <x:v>KEEP</x:v>
      </x:c>
      <x:c r="W18" s="15" t="str"/>
      <x:c r="X18" s="15" t="str"/>
      <x:c r="Y18" s="15" t="str">
        <x:v>https://netshort.com/hotseries/loved-him-once-never-again-new-1995383149094936577</x:v>
      </x:c>
      <x:c r="Z18" s="15" t="str"/>
    </x:row>
    <x:row r="19">
      <x:c r="A19" s="15" t="str">
        <x:v>L0018</x:v>
      </x:c>
      <x:c r="B19" s="15" t="str">
        <x:v>2025-11</x:v>
      </x:c>
      <x:c r="C19" s="15" t="str">
        <x:v>NetShort</x:v>
      </x:c>
      <x:c r="D19" s="15" t="str">
        <x:v>Base_XLSX</x:v>
      </x:c>
      <x:c r="E19" s="15" t="n">
        <x:v>3</x:v>
      </x:c>
      <x:c r="F19" s="15" t="str">
        <x:v>Base only</x:v>
      </x:c>
      <x:c r="G19" s="15" t="str">
        <x:v>My Sister’s Fiancé, My Mafia Husband</x:v>
      </x:c>
      <x:c r="H19" s="15" t="str">
        <x:v>My Sister’s Fiancé, My Mafia Husband</x:v>
      </x:c>
      <x:c r="I19" s="15" t="str">
        <x:v>Live-action/dubbed; AIGC not flagged</x:v>
      </x:c>
      <x:c r="J19" s="15" t="str">
        <x:v>Not flagged</x:v>
      </x:c>
      <x:c r="K19" s="15" t="str">
        <x:v>Female / Romance</x:v>
      </x:c>
      <x:c r="L19" s="15" t="str">
        <x:v>Mafia / Switched Fiancé / Hidden Heir</x:v>
      </x:c>
      <x:c r="M19" s="15" t="str">
        <x:v>Hidden-identity reveal + High-status partner/authority</x:v>
      </x:c>
      <x:c r="N19" s="15" t="str">
        <x:v>정체/권력 공개 직전까지 결핍·오해를 누적</x:v>
      </x:c>
      <x:c r="O19" s="15" t="str">
        <x:v>Medium-High: 압도적 외모·의상·공간 미감으로 실사형 보상 강화</x:v>
      </x:c>
      <x:c r="P19" s="15" t="str">
        <x:v>자매가 약혼자를 바꾼 뒤 몰락한 남편이 마피아 후계자였다는 반전.</x:v>
      </x:c>
      <x:c r="Q19" s="15" t="str">
        <x:v>공식 페이지 줄거리 확인.</x:v>
      </x:c>
      <x:c r="R19" s="15" t="str">
        <x:v>Release date 2025-11-14.</x:v>
      </x:c>
      <x:c r="S19" s="15" t="str">
        <x:v>A / Strong verified</x:v>
      </x:c>
      <x:c r="T19" s="18" t="n">
        <x:v>88</x:v>
      </x:c>
      <x:c r="U19" s="15" t="str">
        <x:v>A_Core</x:v>
      </x:c>
      <x:c r="V19" s="15" t="str">
        <x:v>KEEP</x:v>
      </x:c>
      <x:c r="W19" s="15" t="str"/>
      <x:c r="X19" s="15" t="str"/>
      <x:c r="Y19" s="15" t="str">
        <x:v>https://netshort.com/hotseries/my-sisters-fianc%C3%A9-my-mafia-husband-new-1991617973403836418</x:v>
      </x:c>
      <x:c r="Z19" s="15" t="str"/>
    </x:row>
    <x:row r="20">
      <x:c r="A20" s="15" t="str">
        <x:v>L0019</x:v>
      </x:c>
      <x:c r="B20" s="15" t="str">
        <x:v>2025-12</x:v>
      </x:c>
      <x:c r="C20" s="15" t="str">
        <x:v>NetShort</x:v>
      </x:c>
      <x:c r="D20" s="15" t="str">
        <x:v>Base_XLSX</x:v>
      </x:c>
      <x:c r="E20" s="15" t="n">
        <x:v>1</x:v>
      </x:c>
      <x:c r="F20" s="15" t="str">
        <x:v>Base only</x:v>
      </x:c>
      <x:c r="G20" s="15" t="str">
        <x:v>10 Days to Win His Majesty, or Die</x:v>
      </x:c>
      <x:c r="H20" s="15" t="str">
        <x:v>10 Days to Win His Majesty, or Die</x:v>
      </x:c>
      <x:c r="I20" s="15" t="str">
        <x:v>Live-action/dubbed; AIGC not flagged</x:v>
      </x:c>
      <x:c r="J20" s="15" t="str">
        <x:v>Not flagged</x:v>
      </x:c>
      <x:c r="K20" s="15" t="str">
        <x:v>Female / Romance</x:v>
      </x:c>
      <x:c r="L20" s="15" t="str">
        <x:v>Historical Romance / Past Lives / Trapped in a Book</x:v>
      </x:c>
      <x:c r="M20" s="15" t="str">
        <x:v>Core melodrama hook</x:v>
      </x:c>
      <x:c r="N20" s="15" t="str">
        <x:v>무료부에서는 결핍과 예고, 유료부에서는 보상/진실/역전</x:v>
      </x:c>
      <x:c r="O20" s="15" t="str">
        <x:v>Medium: 광고 컷·후킹 이미지 보강용</x:v>
      </x:c>
      <x:c r="P20" s="15" t="str">
        <x:v>책 속/전생 세계에서 10일 안에 왕을 공략해야 생존하는 로맨스.</x:v>
      </x:c>
      <x:c r="Q20" s="15" t="str">
        <x:v>공식 페이지 신작 태그 확인.</x:v>
      </x:c>
      <x:c r="R20" s="15" t="str">
        <x:v>Release date 2025-12-01; runtime 133 min.</x:v>
      </x:c>
      <x:c r="S20" s="15" t="str">
        <x:v>A / Strong verified</x:v>
      </x:c>
      <x:c r="T20" s="18" t="n">
        <x:v>100</x:v>
      </x:c>
      <x:c r="U20" s="15" t="str">
        <x:v>A_Core</x:v>
      </x:c>
      <x:c r="V20" s="15" t="str">
        <x:v>KEEP</x:v>
      </x:c>
      <x:c r="W20" s="15" t="str"/>
      <x:c r="X20" s="15" t="str"/>
      <x:c r="Y20" s="15" t="str">
        <x:v>https://netshort.com/hotseries/10-days-to-win-his-majesty-or-die-new-1992116996939284481</x:v>
      </x:c>
      <x:c r="Z20" s="15" t="str"/>
    </x:row>
    <x:row r="21">
      <x:c r="A21" s="15" t="str">
        <x:v>L0020</x:v>
      </x:c>
      <x:c r="B21" s="15" t="str">
        <x:v>2025-12</x:v>
      </x:c>
      <x:c r="C21" s="15" t="str">
        <x:v>NetShort</x:v>
      </x:c>
      <x:c r="D21" s="15" t="str">
        <x:v>Base_XLSX</x:v>
      </x:c>
      <x:c r="E21" s="15" t="n">
        <x:v>2</x:v>
      </x:c>
      <x:c r="F21" s="15" t="str">
        <x:v>Base only</x:v>
      </x:c>
      <x:c r="G21" s="15" t="str">
        <x:v>My Wife Cheated, So I Became a God</x:v>
      </x:c>
      <x:c r="H21" s="15" t="str">
        <x:v>My Wife Cheated, So I Became a God</x:v>
      </x:c>
      <x:c r="I21" s="15" t="str">
        <x:v>AIGC candidate; official AIGC flag not found</x:v>
      </x:c>
      <x:c r="J21" s="15" t="str">
        <x:v>AIGC/Animation candidate</x:v>
      </x:c>
      <x:c r="K21" s="15" t="str">
        <x:v>Female / Romance</x:v>
      </x:c>
      <x:c r="L21" s="15" t="str">
        <x:v>Fantasy / Underdog Rise / Karma Payback</x:v>
      </x:c>
      <x:c r="M21" s="15" t="str">
        <x:v>Revenge/regret payoff</x:v>
      </x:c>
      <x:c r="N21" s="15" t="str">
        <x:v>굴욕/배신 후 첫 반격을 예고하고 본격 응징은 지연</x:v>
      </x:c>
      <x:c r="O21" s="15" t="str">
        <x:v>High: VFX·세계관·시스템 UI·비현실 스케일을 직접 보상화</x:v>
      </x:c>
      <x:c r="P21" s="15" t="str">
        <x:v>아내의 배신 후 남자가 신적 힘을 얻는 남성향 판타지 역전.</x:v>
      </x:c>
      <x:c r="Q21" s="15" t="str">
        <x:v>공식 페이지 신작 태그 확인.</x:v>
      </x:c>
      <x:c r="R21" s="15" t="str">
        <x:v>Release date 2025-12-27; runtime 109 min.</x:v>
      </x:c>
      <x:c r="S21" s="15" t="str">
        <x:v>A / Strong verified</x:v>
      </x:c>
      <x:c r="T21" s="18" t="n">
        <x:v>100</x:v>
      </x:c>
      <x:c r="U21" s="15" t="str">
        <x:v>A_Core</x:v>
      </x:c>
      <x:c r="V21" s="15" t="str">
        <x:v>KEEP</x:v>
      </x:c>
      <x:c r="W21" s="15" t="str"/>
      <x:c r="X21" s="15" t="str"/>
      <x:c r="Y21" s="15" t="str">
        <x:v>https://netshort.com/hotseries/my-wife-cheated-so-i-became-a-god-new-3-2004112691517865986</x:v>
      </x:c>
      <x:c r="Z21" s="15" t="str">
        <x:v>제작 AIGC 직접 표기 확인 필요.</x:v>
      </x:c>
    </x:row>
    <x:row r="22">
      <x:c r="A22" s="15" t="str">
        <x:v>L0021</x:v>
      </x:c>
      <x:c r="B22" s="15" t="str">
        <x:v>2025-12</x:v>
      </x:c>
      <x:c r="C22" s="15" t="str">
        <x:v>NetShort</x:v>
      </x:c>
      <x:c r="D22" s="15" t="str">
        <x:v>Base_XLSX</x:v>
      </x:c>
      <x:c r="E22" s="15" t="n">
        <x:v>3</x:v>
      </x:c>
      <x:c r="F22" s="15" t="str">
        <x:v>Base only</x:v>
      </x:c>
      <x:c r="G22" s="15" t="str">
        <x:v>My Brother-in-Law's Secret Obsession</x:v>
      </x:c>
      <x:c r="H22" s="15" t="str">
        <x:v>My Brother-in-Law's Secret Obsession</x:v>
      </x:c>
      <x:c r="I22" s="15" t="str">
        <x:v>Live-action/dubbed; AIGC not flagged</x:v>
      </x:c>
      <x:c r="J22" s="15" t="str">
        <x:v>Not flagged</x:v>
      </x:c>
      <x:c r="K22" s="15" t="str">
        <x:v>Female / Romance</x:v>
      </x:c>
      <x:c r="L22" s="15" t="str">
        <x:v>Contract Lovers / Secret Crush / Sweet Romance</x:v>
      </x:c>
      <x:c r="M22" s="15" t="str">
        <x:v>Hidden-identity reveal</x:v>
      </x:c>
      <x:c r="N22" s="15" t="str">
        <x:v>정체/권력 공개 직전까지 결핍·오해를 누적</x:v>
      </x:c>
      <x:c r="O22" s="15" t="str">
        <x:v>Medium: 광고 컷·후킹 이미지 보강용</x:v>
      </x:c>
      <x:c r="P22" s="15" t="str">
        <x:v>형부/시가 관계의 금지된 집착과 계약 연애를 결합한 로맨스.</x:v>
      </x:c>
      <x:c r="Q22" s="15" t="str">
        <x:v>공식 페이지 신작 태그 확인.</x:v>
      </x:c>
      <x:c r="R22" s="15" t="str">
        <x:v>Release date 2025-12-02; runtime 131 min.</x:v>
      </x:c>
      <x:c r="S22" s="15" t="str">
        <x:v>A / Strong verified</x:v>
      </x:c>
      <x:c r="T22" s="18" t="n">
        <x:v>100</x:v>
      </x:c>
      <x:c r="U22" s="15" t="str">
        <x:v>A_Core</x:v>
      </x:c>
      <x:c r="V22" s="15" t="str">
        <x:v>KEEP</x:v>
      </x:c>
      <x:c r="W22" s="15" t="str"/>
      <x:c r="X22" s="15" t="str"/>
      <x:c r="Y22" s="15" t="str">
        <x:v>https://netshort.com/hotseries/my-brother-in-laws-secret-obsession-new-1992117056297074690</x:v>
      </x:c>
      <x:c r="Z22" s="15" t="str"/>
    </x:row>
    <x:row r="23">
      <x:c r="A23" s="15" t="str">
        <x:v>L0022</x:v>
      </x:c>
      <x:c r="B23" s="15" t="str">
        <x:v>2026-01</x:v>
      </x:c>
      <x:c r="C23" s="15" t="str">
        <x:v>NetShort</x:v>
      </x:c>
      <x:c r="D23" s="15" t="str">
        <x:v>Base_XLSX</x:v>
      </x:c>
      <x:c r="E23" s="15" t="n">
        <x:v>1</x:v>
      </x:c>
      <x:c r="F23" s="15" t="str">
        <x:v>Base only</x:v>
      </x:c>
      <x:c r="G23" s="15" t="str">
        <x:v>Marry My Father-in-Law for Revenge</x:v>
      </x:c>
      <x:c r="H23" s="15" t="str">
        <x:v>Marry My Father-in-Law for Revenge</x:v>
      </x:c>
      <x:c r="I23" s="15" t="str">
        <x:v>Live-action/dubbed; AIGC not flagged</x:v>
      </x:c>
      <x:c r="J23" s="15" t="str">
        <x:v>Not flagged</x:v>
      </x:c>
      <x:c r="K23" s="15" t="str">
        <x:v>Female / Romance</x:v>
      </x:c>
      <x:c r="L23" s="15" t="str">
        <x:v>Switched Marriages / Karma Payback / Underdog Rise</x:v>
      </x:c>
      <x:c r="M23" s="15" t="str">
        <x:v>Hidden-identity reveal + Revenge/regret payoff</x:v>
      </x:c>
      <x:c r="N23" s="15" t="str">
        <x:v>정체/권력 공개 직전까지 결핍·오해를 누적</x:v>
      </x:c>
      <x:c r="O23" s="15" t="str">
        <x:v>Medium: 광고 컷·후킹 이미지 보강용</x:v>
      </x:c>
      <x:c r="P23" s="15" t="str">
        <x:v>복수를 위해 전 약혼자의 아버지와 결혼하는 막장식 결혼 반전.</x:v>
      </x:c>
      <x:c r="Q23" s="15" t="str">
        <x:v>공식 페이지 신작 태그 확인.</x:v>
      </x:c>
      <x:c r="R23" s="15" t="str">
        <x:v>Release date 2026-01-17; runtime 92 min.</x:v>
      </x:c>
      <x:c r="S23" s="15" t="str">
        <x:v>A / Strong verified</x:v>
      </x:c>
      <x:c r="T23" s="18" t="n">
        <x:v>100</x:v>
      </x:c>
      <x:c r="U23" s="15" t="str">
        <x:v>A_Core</x:v>
      </x:c>
      <x:c r="V23" s="15" t="str">
        <x:v>KEEP</x:v>
      </x:c>
      <x:c r="W23" s="15" t="str"/>
      <x:c r="X23" s="15" t="str"/>
      <x:c r="Y23" s="15" t="str">
        <x:v>https://netshort.com/hotseries/marry-my-father-in-law-for-revenge-new-2010535829325971457</x:v>
      </x:c>
      <x:c r="Z23" s="15" t="str"/>
    </x:row>
    <x:row r="24">
      <x:c r="A24" s="15" t="str">
        <x:v>L0023</x:v>
      </x:c>
      <x:c r="B24" s="15" t="str">
        <x:v>2026-01</x:v>
      </x:c>
      <x:c r="C24" s="15" t="str">
        <x:v>NetShort</x:v>
      </x:c>
      <x:c r="D24" s="15" t="str">
        <x:v>Base_XLSX</x:v>
      </x:c>
      <x:c r="E24" s="15" t="n">
        <x:v>2</x:v>
      </x:c>
      <x:c r="F24" s="15" t="str">
        <x:v>Base only</x:v>
      </x:c>
      <x:c r="G24" s="15" t="str">
        <x:v>My Family Framed Me. Time For Payback!</x:v>
      </x:c>
      <x:c r="H24" s="15" t="str">
        <x:v>My Family Framed Me. Time For Payback!</x:v>
      </x:c>
      <x:c r="I24" s="15" t="str">
        <x:v>Live-action/dubbed; AIGC not flagged</x:v>
      </x:c>
      <x:c r="J24" s="15" t="str">
        <x:v>Not flagged</x:v>
      </x:c>
      <x:c r="K24" s="15" t="str">
        <x:v>Family regret / mixed</x:v>
      </x:c>
      <x:c r="L24" s="15" t="str">
        <x:v>Underdog Rise / Sudden Wealth / Men Coming-of-Age</x:v>
      </x:c>
      <x:c r="M24" s="15" t="str">
        <x:v>Revenge/regret payoff + Child/family reunion</x:v>
      </x:c>
      <x:c r="N24" s="15" t="str">
        <x:v>굴욕/배신 후 첫 반격을 예고하고 본격 응징은 지연</x:v>
      </x:c>
      <x:c r="O24" s="15" t="str">
        <x:v>Medium: 아이/가족 감정은 직관화하되 섬세한 연기는 과신 금지</x:v>
      </x:c>
      <x:c r="P24" s="15" t="str">
        <x:v>가족에게 누명 쓴 남자가 돌아와 보상과 복수를 회수하는 계열.</x:v>
      </x:c>
      <x:c r="Q24" s="15" t="str">
        <x:v>공식 페이지 신작 태그 확인.</x:v>
      </x:c>
      <x:c r="R24" s="15" t="str">
        <x:v>Release date 2026-01-23; runtime 103 min.</x:v>
      </x:c>
      <x:c r="S24" s="15" t="str">
        <x:v>A / Strong verified</x:v>
      </x:c>
      <x:c r="T24" s="18" t="n">
        <x:v>100</x:v>
      </x:c>
      <x:c r="U24" s="15" t="str">
        <x:v>A_Core</x:v>
      </x:c>
      <x:c r="V24" s="15" t="str">
        <x:v>KEEP</x:v>
      </x:c>
      <x:c r="W24" s="15" t="str"/>
      <x:c r="X24" s="15" t="str"/>
      <x:c r="Y24" s="15" t="str">
        <x:v>https://netshort.com/hotseries/my-family-framed-me-time-for-payback-new-2013453362656903170</x:v>
      </x:c>
      <x:c r="Z24" s="15" t="str"/>
    </x:row>
    <x:row r="25">
      <x:c r="A25" s="15" t="str">
        <x:v>L0024</x:v>
      </x:c>
      <x:c r="B25" s="15" t="str">
        <x:v>2026-01</x:v>
      </x:c>
      <x:c r="C25" s="15" t="str">
        <x:v>NetShort</x:v>
      </x:c>
      <x:c r="D25" s="15" t="str">
        <x:v>Base_XLSX</x:v>
      </x:c>
      <x:c r="E25" s="15" t="n">
        <x:v>3</x:v>
      </x:c>
      <x:c r="F25" s="15" t="str">
        <x:v>Base only</x:v>
      </x:c>
      <x:c r="G25" s="15" t="str">
        <x:v>Bye Mr. Ice</x:v>
      </x:c>
      <x:c r="H25" s="15" t="str">
        <x:v>Bye Mr. Ice</x:v>
      </x:c>
      <x:c r="I25" s="15" t="str">
        <x:v>Live-action/dubbed; AIGC not flagged</x:v>
      </x:c>
      <x:c r="J25" s="15" t="str">
        <x:v>Not flagged</x:v>
      </x:c>
      <x:c r="K25" s="15" t="str">
        <x:v>Female / Romance</x:v>
      </x:c>
      <x:c r="L25" s="15" t="str">
        <x:v>Substitute Bride / All-Too-Late / Tragic Love</x:v>
      </x:c>
      <x:c r="M25" s="15" t="str">
        <x:v>Revenge/regret payoff</x:v>
      </x:c>
      <x:c r="N25" s="15" t="str">
        <x:v>무료부에서는 결핍과 예고, 유료부에서는 보상/진실/역전</x:v>
      </x:c>
      <x:c r="O25" s="15" t="str">
        <x:v>Medium-High: 압도적 외모·의상·공간 미감으로 실사형 보상 강화</x:v>
      </x:c>
      <x:c r="P25" s="15" t="str">
        <x:v>차가운 남주가 사랑을 깨닫기엔 너무 늦었다는 substitute bride 후회극.</x:v>
      </x:c>
      <x:c r="Q25" s="15" t="str">
        <x:v>공식 페이지 리뷰: healing/self-worth 반응.</x:v>
      </x:c>
      <x:c r="R25" s="15" t="str">
        <x:v>Release date 2026-01-21; runtime 89 min.</x:v>
      </x:c>
      <x:c r="S25" s="15" t="str">
        <x:v>A / Strong verified</x:v>
      </x:c>
      <x:c r="T25" s="18" t="n">
        <x:v>100</x:v>
      </x:c>
      <x:c r="U25" s="15" t="str">
        <x:v>A_Core</x:v>
      </x:c>
      <x:c r="V25" s="15" t="str">
        <x:v>KEEP</x:v>
      </x:c>
      <x:c r="W25" s="15" t="str"/>
      <x:c r="X25" s="15" t="str"/>
      <x:c r="Y25" s="15" t="str">
        <x:v>https://netshort.com/hotseries/bye-mr-ice-new-2011690922208985090</x:v>
      </x:c>
      <x:c r="Z25" s="15" t="str"/>
    </x:row>
    <x:row r="26">
      <x:c r="A26" s="15" t="str">
        <x:v>L0025</x:v>
      </x:c>
      <x:c r="B26" s="15" t="str">
        <x:v>2026-02</x:v>
      </x:c>
      <x:c r="C26" s="15" t="str">
        <x:v>NetShort</x:v>
      </x:c>
      <x:c r="D26" s="15" t="str">
        <x:v>Base_XLSX</x:v>
      </x:c>
      <x:c r="E26" s="15" t="n">
        <x:v>1</x:v>
      </x:c>
      <x:c r="F26" s="15" t="str">
        <x:v>Base only</x:v>
      </x:c>
      <x:c r="G26" s="15" t="str">
        <x:v>OMG! I Become a Demon’s Husband</x:v>
      </x:c>
      <x:c r="H26" s="15" t="str">
        <x:v>OMG! I Become a Demon’s Husband</x:v>
      </x:c>
      <x:c r="I26" s="15" t="str">
        <x:v>AIGC candidate; official AIGC flag not found</x:v>
      </x:c>
      <x:c r="J26" s="15" t="str">
        <x:v>AIGC/Animation candidate</x:v>
      </x:c>
      <x:c r="K26" s="15" t="str">
        <x:v>Male / Power fantasy</x:v>
      </x:c>
      <x:c r="L26" s="15" t="str">
        <x:v>Martial Arts / Good vs Evil / Multiple Identities</x:v>
      </x:c>
      <x:c r="M26" s="15" t="str">
        <x:v>Progression/spectacle</x:v>
      </x:c>
      <x:c r="N26" s="15" t="str">
        <x:v>첫 각성·첫 스킬만 보여주고 상위 보스/진짜 권위는 유료부로 이월</x:v>
      </x:c>
      <x:c r="O26" s="15" t="str">
        <x:v>High: VFX·세계관·시스템 UI·비현실 스케일을 직접 보상화</x:v>
      </x:c>
      <x:c r="P26" s="15" t="str">
        <x:v>선/악·다중정체성·손오공/요괴계 판타지를 섞은 액션형 숏드라마.</x:v>
      </x:c>
      <x:c r="Q26" s="15" t="str">
        <x:v>공식 리뷰에서 Sun Wukong/demon lord 매력 언급.</x:v>
      </x:c>
      <x:c r="R26" s="15" t="str">
        <x:v>Release date 2026-02-28; runtime 118 min.</x:v>
      </x:c>
      <x:c r="S26" s="15" t="str">
        <x:v>A / Strong verified</x:v>
      </x:c>
      <x:c r="T26" s="18" t="n">
        <x:v>100</x:v>
      </x:c>
      <x:c r="U26" s="15" t="str">
        <x:v>A_Core</x:v>
      </x:c>
      <x:c r="V26" s="15" t="str">
        <x:v>KEEP</x:v>
      </x:c>
      <x:c r="W26" s="15" t="str"/>
      <x:c r="X26" s="15" t="str"/>
      <x:c r="Y26" s="15" t="str">
        <x:v>https://netshort.com/hotseries/omg-i-become-a-demons-husband-new-2023984599467356161</x:v>
      </x:c>
      <x:c r="Z26" s="15" t="str">
        <x:v>제작 AIGC 직접 표기 확인 필요.</x:v>
      </x:c>
    </x:row>
    <x:row r="27">
      <x:c r="A27" s="15" t="str">
        <x:v>L0026</x:v>
      </x:c>
      <x:c r="B27" s="15" t="str">
        <x:v>2026-02</x:v>
      </x:c>
      <x:c r="C27" s="15" t="str">
        <x:v>NetShort</x:v>
      </x:c>
      <x:c r="D27" s="15" t="str">
        <x:v>Base_XLSX</x:v>
      </x:c>
      <x:c r="E27" s="15" t="n">
        <x:v>2</x:v>
      </x:c>
      <x:c r="F27" s="15" t="str">
        <x:v>Base only</x:v>
      </x:c>
      <x:c r="G27" s="15" t="str">
        <x:v>월급쟁이 말고 재벌집 가정부</x:v>
      </x:c>
      <x:c r="H27" s="15" t="str">
        <x:v>월급쟁이 말고 재벌집 가정부</x:v>
      </x:c>
      <x:c r="I27" s="15" t="str">
        <x:v>Live-action/dubbed; AIGC not flagged</x:v>
      </x:c>
      <x:c r="J27" s="15" t="str">
        <x:v>Not flagged</x:v>
      </x:c>
      <x:c r="K27" s="15" t="str">
        <x:v>Female / Romance</x:v>
      </x:c>
      <x:c r="L27" s="15" t="str">
        <x:v>Workplace Romance / Long-time Love / 사이다</x:v>
      </x:c>
      <x:c r="M27" s="15" t="str">
        <x:v>Core melodrama hook</x:v>
      </x:c>
      <x:c r="N27" s="15" t="str">
        <x:v>무료부에서는 결핍과 예고, 유료부에서는 보상/진실/역전</x:v>
      </x:c>
      <x:c r="O27" s="15" t="str">
        <x:v>Medium: 광고 컷·후킹 이미지 보강용</x:v>
      </x:c>
      <x:c r="P27" s="15" t="str">
        <x:v>과로한 임원이 죽고 재벌가 가정부로 재시작하는 직장/신분 역전.</x:v>
      </x:c>
      <x:c r="Q27" s="15" t="str">
        <x:v>공식 페이지 줄거리·리뷰 확인.</x:v>
      </x:c>
      <x:c r="R27" s="15" t="str">
        <x:v>Release date 2026-02-27; runtime 148 min.</x:v>
      </x:c>
      <x:c r="S27" s="15" t="str">
        <x:v>A / Strong verified</x:v>
      </x:c>
      <x:c r="T27" s="18" t="n">
        <x:v>100</x:v>
      </x:c>
      <x:c r="U27" s="15" t="str">
        <x:v>A_Core</x:v>
      </x:c>
      <x:c r="V27" s="15" t="str">
        <x:v>KEEP</x:v>
      </x:c>
      <x:c r="W27" s="15" t="str"/>
      <x:c r="X27" s="15" t="str"/>
      <x:c r="Y27" s="15" t="str">
        <x:v>https://netshort.com/hotseries/%EC%9B%94%EA%B8%89%EC%9F%81%EC%9D%B4-%EB%A7%90%EA%B3%A0-%EC%9E%AC%EB%B2%8C%EC%A7%91-%EA%B0%80%EC%A0%95%EB%B6%80-new-2023848507740991490</x:v>
      </x:c>
      <x:c r="Z27" s="15" t="str"/>
    </x:row>
    <x:row r="28">
      <x:c r="A28" s="15" t="str">
        <x:v>L0027</x:v>
      </x:c>
      <x:c r="B28" s="15" t="str">
        <x:v>2026-02</x:v>
      </x:c>
      <x:c r="C28" s="15" t="str">
        <x:v>NetShort</x:v>
      </x:c>
      <x:c r="D28" s="15" t="str">
        <x:v>Base_XLSX</x:v>
      </x:c>
      <x:c r="E28" s="15" t="n">
        <x:v>3</x:v>
      </x:c>
      <x:c r="F28" s="15" t="str">
        <x:v>Base only</x:v>
      </x:c>
      <x:c r="G28" s="15" t="str">
        <x:v>불꽃 속의 귀환</x:v>
      </x:c>
      <x:c r="H28" s="15" t="str">
        <x:v>불꽃 속의 귀환</x:v>
      </x:c>
      <x:c r="I28" s="15" t="str">
        <x:v>Live-action/dubbed; AIGC not flagged</x:v>
      </x:c>
      <x:c r="J28" s="15" t="str">
        <x:v>Not flagged</x:v>
      </x:c>
      <x:c r="K28" s="15" t="str">
        <x:v>Family regret / mixed</x:v>
      </x:c>
      <x:c r="L28" s="15" t="str">
        <x:v>Family Support / Secret Identity</x:v>
      </x:c>
      <x:c r="M28" s="15" t="str">
        <x:v>Hidden-identity reveal + Child/family reunion</x:v>
      </x:c>
      <x:c r="N28" s="15" t="str">
        <x:v>정체/권력 공개 직전까지 결핍·오해를 누적</x:v>
      </x:c>
      <x:c r="O28" s="15" t="str">
        <x:v>Medium: 아이/가족 감정은 직관화하되 섬세한 연기는 과신 금지</x:v>
      </x:c>
      <x:c r="P28" s="15" t="str">
        <x:v>불길/사고 후 귀환한 인물이 숨겨진 정체와 가족 서사를 드러냄.</x:v>
      </x:c>
      <x:c r="Q28" s="15" t="str">
        <x:v>공식 페이지 신작 태그 확인.</x:v>
      </x:c>
      <x:c r="R28" s="15" t="str">
        <x:v>Release date 2026-02-27; runtime 88 min.</x:v>
      </x:c>
      <x:c r="S28" s="15" t="str">
        <x:v>A / Strong verified</x:v>
      </x:c>
      <x:c r="T28" s="18" t="n">
        <x:v>100</x:v>
      </x:c>
      <x:c r="U28" s="15" t="str">
        <x:v>A_Core</x:v>
      </x:c>
      <x:c r="V28" s="15" t="str">
        <x:v>KEEP</x:v>
      </x:c>
      <x:c r="W28" s="15" t="str"/>
      <x:c r="X28" s="15" t="str"/>
      <x:c r="Y28" s="15" t="str">
        <x:v>https://netshort.com/hotseries/%EB%B6%88%EA%BD%83-%EC%86%8D%EC%9D%98-%EA%B7%80%ED%99%98-new-2023908915188711425</x:v>
      </x:c>
      <x:c r="Z28" s="15" t="str"/>
    </x:row>
    <x:row r="29">
      <x:c r="A29" s="15" t="str">
        <x:v>L0028</x:v>
      </x:c>
      <x:c r="B29" s="15" t="str">
        <x:v>2026-02</x:v>
      </x:c>
      <x:c r="C29" s="15" t="str">
        <x:v>NetShort</x:v>
      </x:c>
      <x:c r="D29" s="15" t="str">
        <x:v>Base_XLSX</x:v>
      </x:c>
      <x:c r="E29" s="15" t="n">
        <x:v>4</x:v>
      </x:c>
      <x:c r="F29" s="15" t="str">
        <x:v>Base only</x:v>
      </x:c>
      <x:c r="G29" s="15" t="str">
        <x:v>결혼 후에야 시작된 열애</x:v>
      </x:c>
      <x:c r="H29" s="15" t="str">
        <x:v>결혼 후에야 시작된 열애</x:v>
      </x:c>
      <x:c r="I29" s="15" t="str">
        <x:v>Live-action/dubbed; AIGC not flagged</x:v>
      </x:c>
      <x:c r="J29" s="15" t="str">
        <x:v>Not flagged</x:v>
      </x:c>
      <x:c r="K29" s="15" t="str">
        <x:v>Mixed / General</x:v>
      </x:c>
      <x:c r="L29" s="15" t="str">
        <x:v>Contract Dating / 사이다 / 인생역전</x:v>
      </x:c>
      <x:c r="M29" s="15" t="str">
        <x:v>Core melodrama hook</x:v>
      </x:c>
      <x:c r="N29" s="15" t="str">
        <x:v>무료부에서는 결핍과 예고, 유료부에서는 보상/진실/역전</x:v>
      </x:c>
      <x:c r="O29" s="15" t="str">
        <x:v>Medium: 광고 컷·후킹 이미지 보강용</x:v>
      </x:c>
      <x:c r="P29" s="15" t="str">
        <x:v>계약/선결혼 이후 감정이 시작되는 로맨스.</x:v>
      </x:c>
      <x:c r="Q29" s="15" t="str">
        <x:v>공식 페이지 신작 태그 확인.</x:v>
      </x:c>
      <x:c r="R29" s="15" t="str">
        <x:v>Release date 2026-02-23; runtime 162 min.</x:v>
      </x:c>
      <x:c r="S29" s="15" t="str">
        <x:v>A / Strong verified</x:v>
      </x:c>
      <x:c r="T29" s="18" t="n">
        <x:v>100</x:v>
      </x:c>
      <x:c r="U29" s="15" t="str">
        <x:v>A_Core</x:v>
      </x:c>
      <x:c r="V29" s="15" t="str">
        <x:v>KEEP</x:v>
      </x:c>
      <x:c r="W29" s="15" t="str"/>
      <x:c r="X29" s="15" t="str"/>
      <x:c r="Y29" s="15" t="str">
        <x:v>https://netshort.com/hotseries/%EA%B2%B0%ED%98%BC-%ED%9B%84%EC%97%90%EC%95%BC-%EC%8B%9C%EC%9E%91%EB%90%9C-%EC%97%B4%EC%95%A0-new-2022479059980632066</x:v>
      </x:c>
      <x:c r="Z29" s="15" t="str"/>
    </x:row>
    <x:row r="30">
      <x:c r="A30" s="15" t="str">
        <x:v>L0029</x:v>
      </x:c>
      <x:c r="B30" s="15" t="str">
        <x:v>2026-02</x:v>
      </x:c>
      <x:c r="C30" s="15" t="str">
        <x:v>NetShort</x:v>
      </x:c>
      <x:c r="D30" s="15" t="str">
        <x:v>Base_XLSX</x:v>
      </x:c>
      <x:c r="E30" s="15" t="n">
        <x:v>5</x:v>
      </x:c>
      <x:c r="F30" s="15" t="str">
        <x:v>Base only</x:v>
      </x:c>
      <x:c r="G30" s="15" t="str">
        <x:v>그녀는 톱배우야!</x:v>
      </x:c>
      <x:c r="H30" s="15" t="str">
        <x:v>그녀는 톱배우야!</x:v>
      </x:c>
      <x:c r="I30" s="15" t="str">
        <x:v>Live-action/dubbed; AIGC not flagged</x:v>
      </x:c>
      <x:c r="J30" s="15" t="str">
        <x:v>Not flagged</x:v>
      </x:c>
      <x:c r="K30" s="15" t="str">
        <x:v>Female / Romance</x:v>
      </x:c>
      <x:c r="L30" s="15" t="str">
        <x:v>Celebrity / Hidden Identity / Romance</x:v>
      </x:c>
      <x:c r="M30" s="15" t="str">
        <x:v>Hidden-identity reveal</x:v>
      </x:c>
      <x:c r="N30" s="15" t="str">
        <x:v>정체/권력 공개 직전까지 결핍·오해를 누적</x:v>
      </x:c>
      <x:c r="O30" s="15" t="str">
        <x:v>Medium: 광고 컷·후킹 이미지 보강용</x:v>
      </x:c>
      <x:c r="P30" s="15" t="str">
        <x:v>톱배우 정체/연예계 권력 반전을 활용한 로맨스/사이다.</x:v>
      </x:c>
      <x:c r="Q30" s="15" t="str">
        <x:v>공식 페이지 신작 태그 확인.</x:v>
      </x:c>
      <x:c r="R30" s="15" t="str">
        <x:v>Release date 2026-02-21.</x:v>
      </x:c>
      <x:c r="S30" s="15" t="str">
        <x:v>B / Useful verified</x:v>
      </x:c>
      <x:c r="T30" s="18" t="n">
        <x:v>73</x:v>
      </x:c>
      <x:c r="U30" s="15" t="str">
        <x:v>B_Strong</x:v>
      </x:c>
      <x:c r="V30" s="15" t="str">
        <x:v>WATCH_REPLACE</x:v>
      </x:c>
      <x:c r="W30" s="15" t="str">
        <x:v>One Move God Mode</x:v>
      </x:c>
      <x:c r="X30" s="15" t="str">
        <x:v>현행 medium 하위 슬롯. 보강자료 증거 강도에 따라 교체 가능.</x:v>
      </x:c>
      <x:c r="Y30" s="15" t="str">
        <x:v>https://netshort.com/hotseries/%EA%B7%B8%EB%85%80%EB%8A%94-%ED%86%B1%EB%B0%B0%EC%9A%B0%EC%95%BC-new-2021331739467624450</x:v>
      </x:c>
      <x:c r="Z30" s="15" t="str"/>
    </x:row>
    <x:row r="31">
      <x:c r="A31" s="15" t="str">
        <x:v>L0030</x:v>
      </x:c>
      <x:c r="B31" s="15" t="str">
        <x:v>2026-03</x:v>
      </x:c>
      <x:c r="C31" s="15" t="str">
        <x:v>NetShort</x:v>
      </x:c>
      <x:c r="D31" s="15" t="str">
        <x:v>Base+Supplement_DOCX</x:v>
      </x:c>
      <x:c r="E31" s="15" t="n">
        <x:v>1</x:v>
      </x:c>
      <x:c r="F31" s="15" t="str">
        <x:v>Merged / reinforced</x:v>
      </x:c>
      <x:c r="G31" s="15" t="str">
        <x:v>One Move God Mode</x:v>
      </x:c>
      <x:c r="H31" s="15" t="str">
        <x:v>One Move God Mode</x:v>
      </x:c>
      <x:c r="I31" s="15" t="str">
        <x:v>Direct external evidence says AI/AI-like production; NetShort official title verified</x:v>
      </x:c>
      <x:c r="J31" s="15" t="str">
        <x:v>Direct/Explicit AI</x:v>
      </x:c>
      <x:c r="K31" s="15" t="str">
        <x:v>Male / Power fantasy</x:v>
      </x:c>
      <x:c r="L31" s="15" t="str">
        <x:v>Urban Fantasy / Underdog Rise / Karma Payback / Myth Power</x:v>
      </x:c>
      <x:c r="M31" s="15" t="str">
        <x:v>Revenge/regret payoff + Progression/spectacle</x:v>
      </x:c>
      <x:c r="N31" s="15" t="str">
        <x:v>굴욕/배신 후 첫 반격을 예고하고 본격 응징은 지연</x:v>
      </x:c>
      <x:c r="O31" s="15" t="str">
        <x:v>High: AI/VFX 스케일·신화 몬스터·전투 연출을 핵심 상품으로 사용.</x:v>
      </x:c>
      <x:c r="P31" s="15" t="str">
        <x:v>포세이돈의 아들이 농부로 멸시당하다 녹슨 쇠스랑=삼지창을 깨우며 신적 복수를 시작.</x:v>
      </x:c>
      <x:c r="Q31" s="15" t="str">
        <x:v>YouTube 공식/준공식 노출 다수; 리뷰에서 myth-powered underdog로 정리.</x:v>
      </x:c>
      <x:c r="R31" s="15" t="str">
        <x:v>TopMarketing and 36Kr/DataEye reports identify One Move God Mode as a NetShort AI/AI-like drama case; official NetShort page verifies title.</x:v>
      </x:c>
      <x:c r="S31" s="15" t="str">
        <x:v>A / Strong verified</x:v>
      </x:c>
      <x:c r="T31" s="18" t="n">
        <x:v>100</x:v>
      </x:c>
      <x:c r="U31" s="15" t="str">
        <x:v>A_Core</x:v>
      </x:c>
      <x:c r="V31" s="15" t="str">
        <x:v>MERGE_AND_REINFORCE_EXISTING</x:v>
      </x:c>
      <x:c r="W31" s="15" t="str">
        <x:v>Existing One Move God Mode rows</x:v>
      </x:c>
      <x:c r="X31" s="15" t="str">
        <x:v>2026-05-19 correction: direct-AI evidence retained; sources tightened to official + industry reports.</x:v>
      </x:c>
      <x:c r="Y31" s="15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31" s="15" t="str">
        <x:v>DataEye 소재량·언어버전별 집행량 캡처로 세부 성과 보강.</x:v>
      </x:c>
    </x:row>
    <x:row r="32">
      <x:c r="A32" s="15" t="str">
        <x:v>L0031</x:v>
      </x:c>
      <x:c r="B32" s="15" t="str">
        <x:v>2026-03</x:v>
      </x:c>
      <x:c r="C32" s="15" t="str">
        <x:v>NetShort</x:v>
      </x:c>
      <x:c r="D32" s="15" t="str">
        <x:v>Base_XLSX</x:v>
      </x:c>
      <x:c r="E32" s="15" t="n">
        <x:v>2</x:v>
      </x:c>
      <x:c r="F32" s="15" t="str">
        <x:v>Base only</x:v>
      </x:c>
      <x:c r="G32" s="15" t="str">
        <x:v>1000 Years in a Loop!</x:v>
      </x:c>
      <x:c r="H32" s="15" t="str">
        <x:v>1000 Years in a Loop!</x:v>
      </x:c>
      <x:c r="I32" s="15" t="str">
        <x:v>AIGC candidate; official AIGC flag not found</x:v>
      </x:c>
      <x:c r="J32" s="15" t="str">
        <x:v>AIGC/Animation candidate</x:v>
      </x:c>
      <x:c r="K32" s="15" t="str">
        <x:v>Male / Power fantasy</x:v>
      </x:c>
      <x:c r="L32" s="15" t="str">
        <x:v>Urban Fantasy / Mind-Bending / Feel-Good</x:v>
      </x:c>
      <x:c r="M32" s="15" t="str">
        <x:v>Progression/spectacle</x:v>
      </x:c>
      <x:c r="N32" s="15" t="str">
        <x:v>첫 각성·첫 스킬만 보여주고 상위 보스/진짜 권위는 유료부로 이월</x:v>
      </x:c>
      <x:c r="O32" s="15" t="str">
        <x:v>High: VFX·세계관·시스템 UI·비현실 스케일을 직접 보상화</x:v>
      </x:c>
      <x:c r="P32" s="15" t="str">
        <x:v>천 년 루프/시간 반복을 통해 도시 판타지식 대역전을 만드는 구조.</x:v>
      </x:c>
      <x:c r="Q32" s="15" t="str">
        <x:v>공식 페이지 신작 태그 확인.</x:v>
      </x:c>
      <x:c r="R32" s="15" t="str">
        <x:v>Release date 2026-03-31; runtime 150 min.</x:v>
      </x:c>
      <x:c r="S32" s="15" t="str">
        <x:v>A / Strong verified</x:v>
      </x:c>
      <x:c r="T32" s="18" t="n">
        <x:v>100</x:v>
      </x:c>
      <x:c r="U32" s="15" t="str">
        <x:v>A_Core</x:v>
      </x:c>
      <x:c r="V32" s="15" t="str">
        <x:v>KEEP</x:v>
      </x:c>
      <x:c r="W32" s="15" t="str"/>
      <x:c r="X32" s="15" t="str"/>
      <x:c r="Y32" s="15" t="str">
        <x:v>https://netshort.com/hotseries/1000-years-in-a-loop-new-2035599141670649858</x:v>
      </x:c>
      <x:c r="Z32" s="15" t="str">
        <x:v>제작 AIGC 직접 표기 확인 필요.</x:v>
      </x:c>
    </x:row>
    <x:row r="33">
      <x:c r="A33" s="15" t="str">
        <x:v>L0032</x:v>
      </x:c>
      <x:c r="B33" s="15" t="str">
        <x:v>2026-03</x:v>
      </x:c>
      <x:c r="C33" s="15" t="str">
        <x:v>NetShort</x:v>
      </x:c>
      <x:c r="D33" s="15" t="str">
        <x:v>Base_XLSX</x:v>
      </x:c>
      <x:c r="E33" s="15" t="n">
        <x:v>3</x:v>
      </x:c>
      <x:c r="F33" s="15" t="str">
        <x:v>Base only</x:v>
      </x:c>
      <x:c r="G33" s="15" t="str">
        <x:v>The Godmaker’s Return</x:v>
      </x:c>
      <x:c r="H33" s="15" t="str">
        <x:v>The Godmaker’s Return</x:v>
      </x:c>
      <x:c r="I33" s="15" t="str">
        <x:v>AIGC candidate; official AIGC flag not found</x:v>
      </x:c>
      <x:c r="J33" s="15" t="str">
        <x:v>AIGC/Animation candidate</x:v>
      </x:c>
      <x:c r="K33" s="15" t="str">
        <x:v>Male / Power fantasy</x:v>
      </x:c>
      <x:c r="L33" s="15" t="str">
        <x:v>Underdog Rise / Return King / Power Play</x:v>
      </x:c>
      <x:c r="M33" s="15" t="str">
        <x:v>Hidden-identity reveal + Revenge/regret payoff + High-status partner/authority</x:v>
      </x:c>
      <x:c r="N33" s="15" t="str">
        <x:v>무료부에서는 결핍과 예고, 유료부에서는 보상/진실/역전</x:v>
      </x:c>
      <x:c r="O33" s="15" t="str">
        <x:v>High: VFX·세계관·시스템 UI·비현실 스케일을 직접 보상화</x:v>
      </x:c>
      <x:c r="P33" s="15" t="str">
        <x:v>돌아온 최강자가 권력판을 다시 짜는 남성향 권력 회수물.</x:v>
      </x:c>
      <x:c r="Q33" s="15" t="str">
        <x:v>공식 리뷰에서 ancient architecture + modern CGI 언급.</x:v>
      </x:c>
      <x:c r="R33" s="15" t="str">
        <x:v>Release date 2026-03-26; runtime 135 min.</x:v>
      </x:c>
      <x:c r="S33" s="15" t="str">
        <x:v>A / Strong verified</x:v>
      </x:c>
      <x:c r="T33" s="18" t="n">
        <x:v>100</x:v>
      </x:c>
      <x:c r="U33" s="15" t="str">
        <x:v>A_Core</x:v>
      </x:c>
      <x:c r="V33" s="15" t="str">
        <x:v>KEEP</x:v>
      </x:c>
      <x:c r="W33" s="15" t="str"/>
      <x:c r="X33" s="15" t="str"/>
      <x:c r="Y33" s="15" t="str">
        <x:v>https://netshort.com/hotseries/the-godmakers-return-new-2033845776191621121</x:v>
      </x:c>
      <x:c r="Z33" s="15" t="str">
        <x:v>제작 AIGC 직접 표기 확인 필요.</x:v>
      </x:c>
    </x:row>
    <x:row r="34">
      <x:c r="A34" s="15" t="str">
        <x:v>L0033</x:v>
      </x:c>
      <x:c r="B34" s="15" t="str">
        <x:v>2026-03</x:v>
      </x:c>
      <x:c r="C34" s="15" t="str">
        <x:v>NetShort</x:v>
      </x:c>
      <x:c r="D34" s="15" t="str">
        <x:v>Base_XLSX</x:v>
      </x:c>
      <x:c r="E34" s="15" t="n">
        <x:v>4</x:v>
      </x:c>
      <x:c r="F34" s="15" t="str">
        <x:v>Base only</x:v>
      </x:c>
      <x:c r="G34" s="15" t="str">
        <x:v>Marry Me? No, Killed Me!</x:v>
      </x:c>
      <x:c r="H34" s="15" t="str">
        <x:v>Marry Me? No, Killed Me!</x:v>
      </x:c>
      <x:c r="I34" s="15" t="str">
        <x:v>Live-action/dubbed; AIGC not flagged</x:v>
      </x:c>
      <x:c r="J34" s="15" t="str">
        <x:v>Not flagged</x:v>
      </x:c>
      <x:c r="K34" s="15" t="str">
        <x:v>Female / Revenge-SFL</x:v>
      </x:c>
      <x:c r="L34" s="15" t="str">
        <x:v>Corporate Warfare / Karma Payback / Feel-Good</x:v>
      </x:c>
      <x:c r="M34" s="15" t="str">
        <x:v>Revenge/regret payoff</x:v>
      </x:c>
      <x:c r="N34" s="15" t="str">
        <x:v>굴욕/배신 후 첫 반격을 예고하고 본격 응징은 지연</x:v>
      </x:c>
      <x:c r="O34" s="15" t="str">
        <x:v>Medium: 광고 컷·후킹 이미지 보강용</x:v>
      </x:c>
      <x:c r="P34" s="15" t="str">
        <x:v>청혼이 아닌 살해/배신으로 시작되는 기업전쟁형 복수극.</x:v>
      </x:c>
      <x:c r="Q34" s="15" t="str">
        <x:v>공식 페이지 신작 태그 확인.</x:v>
      </x:c>
      <x:c r="R34" s="15" t="str">
        <x:v>Release date 2026-03-27; runtime 116 min.</x:v>
      </x:c>
      <x:c r="S34" s="15" t="str">
        <x:v>A / Strong verified</x:v>
      </x:c>
      <x:c r="T34" s="18" t="n">
        <x:v>100</x:v>
      </x:c>
      <x:c r="U34" s="15" t="str">
        <x:v>A_Core</x:v>
      </x:c>
      <x:c r="V34" s="15" t="str">
        <x:v>KEEP</x:v>
      </x:c>
      <x:c r="W34" s="15" t="str"/>
      <x:c r="X34" s="15" t="str"/>
      <x:c r="Y34" s="15" t="str">
        <x:v>https://netshort.com/hotseries/marry-me-no-killed-me-new-2033916179442683905</x:v>
      </x:c>
      <x:c r="Z34" s="15" t="str"/>
    </x:row>
    <x:row r="35">
      <x:c r="A35" s="15" t="str">
        <x:v>L0034</x:v>
      </x:c>
      <x:c r="B35" s="15" t="str">
        <x:v>2026-03</x:v>
      </x:c>
      <x:c r="C35" s="15" t="str">
        <x:v>NetShort</x:v>
      </x:c>
      <x:c r="D35" s="15" t="str">
        <x:v>Base_XLSX</x:v>
      </x:c>
      <x:c r="E35" s="15" t="n">
        <x:v>5</x:v>
      </x:c>
      <x:c r="F35" s="15" t="str">
        <x:v>Base only</x:v>
      </x:c>
      <x:c r="G35" s="15" t="str">
        <x:v>Go Dutch? My Mom Strikes Back</x:v>
      </x:c>
      <x:c r="H35" s="15" t="str">
        <x:v>Go Dutch? My Mom Strikes Back</x:v>
      </x:c>
      <x:c r="I35" s="15" t="str">
        <x:v>Live-action/dubbed; AIGC not flagged</x:v>
      </x:c>
      <x:c r="J35" s="15" t="str">
        <x:v>Not flagged</x:v>
      </x:c>
      <x:c r="K35" s="15" t="str">
        <x:v>Family regret / mixed</x:v>
      </x:c>
      <x:c r="L35" s="15" t="str">
        <x:v>Family Drama / Plot Twist / Redemption</x:v>
      </x:c>
      <x:c r="M35" s="15" t="str">
        <x:v>Child/family reunion</x:v>
      </x:c>
      <x:c r="N35" s="15" t="str">
        <x:v>무료부에서는 결핍과 예고, 유료부에서는 보상/진실/역전</x:v>
      </x:c>
      <x:c r="O35" s="15" t="str">
        <x:v>Medium: 아이/가족 감정은 직관화하되 섬세한 연기는 과신 금지</x:v>
      </x:c>
      <x:c r="P35" s="15" t="str">
        <x:v>가족 내 비용·희생·오해를 둘러싼 엄마의 반격형 가족극.</x:v>
      </x:c>
      <x:c r="Q35" s="15" t="str">
        <x:v>공식 페이지 신작 태그 확인.</x:v>
      </x:c>
      <x:c r="R35" s="15" t="str">
        <x:v>Release date 2026-03-28; runtime 116 min.</x:v>
      </x:c>
      <x:c r="S35" s="15" t="str">
        <x:v>A / Strong verified</x:v>
      </x:c>
      <x:c r="T35" s="18" t="n">
        <x:v>100</x:v>
      </x:c>
      <x:c r="U35" s="15" t="str">
        <x:v>A_Core</x:v>
      </x:c>
      <x:c r="V35" s="15" t="str">
        <x:v>KEEP</x:v>
      </x:c>
      <x:c r="W35" s="15" t="str"/>
      <x:c r="X35" s="15" t="str"/>
      <x:c r="Y35" s="15" t="str">
        <x:v>https://netshort.com/hotseries/go-dutch-my-mom-strikes-back-new-2034265239228051457</x:v>
      </x:c>
      <x:c r="Z35" s="15" t="str"/>
    </x:row>
    <x:row r="36">
      <x:c r="A36" s="15" t="str">
        <x:v>L0035</x:v>
      </x:c>
      <x:c r="B36" s="15" t="str">
        <x:v>2026-04</x:v>
      </x:c>
      <x:c r="C36" s="15" t="str">
        <x:v>NetShort</x:v>
      </x:c>
      <x:c r="D36" s="15" t="str">
        <x:v>Base_XLSX</x:v>
      </x:c>
      <x:c r="E36" s="15" t="n">
        <x:v>1</x:v>
      </x:c>
      <x:c r="F36" s="15" t="str">
        <x:v>Base only</x:v>
      </x:c>
      <x:c r="G36" s="15" t="str">
        <x:v>Lv.1 Legend? Sweet</x:v>
      </x:c>
      <x:c r="H36" s="15" t="str">
        <x:v>Lv.1 Legend? Sweet</x:v>
      </x:c>
      <x:c r="I36" s="15" t="str">
        <x:v>AIGC candidate; official AIGC flag not found</x:v>
      </x:c>
      <x:c r="J36" s="15" t="str">
        <x:v>AIGC/Animation candidate</x:v>
      </x:c>
      <x:c r="K36" s="15" t="str">
        <x:v>Female / Revenge-SFL</x:v>
      </x:c>
      <x:c r="L36" s="15" t="str">
        <x:v>Eastern Fantasy / Karma Payback / Fantasy World</x:v>
      </x:c>
      <x:c r="M36" s="15" t="str">
        <x:v>Revenge/regret payoff</x:v>
      </x:c>
      <x:c r="N36" s="15" t="str">
        <x:v>굴욕/배신 후 첫 반격을 예고하고 본격 응징은 지연</x:v>
      </x:c>
      <x:c r="O36" s="15" t="str">
        <x:v>High: VFX·세계관·시스템 UI·비현실 스케일을 직접 보상화</x:v>
      </x:c>
      <x:c r="P36" s="15" t="str">
        <x:v>레벨1처럼 보이지만 전설급인 인물이 판타지 세계에서 보상을 회수.</x:v>
      </x:c>
      <x:c r="Q36" s="15" t="str">
        <x:v>공식 페이지 신작 태그 확인.</x:v>
      </x:c>
      <x:c r="R36" s="15" t="str">
        <x:v>Release date 2026-04-02; runtime 116 min.</x:v>
      </x:c>
      <x:c r="S36" s="15" t="str">
        <x:v>A / Strong verified</x:v>
      </x:c>
      <x:c r="T36" s="18" t="n">
        <x:v>100</x:v>
      </x:c>
      <x:c r="U36" s="15" t="str">
        <x:v>A_Core</x:v>
      </x:c>
      <x:c r="V36" s="15" t="str">
        <x:v>KEEP</x:v>
      </x:c>
      <x:c r="W36" s="15" t="str"/>
      <x:c r="X36" s="15" t="str"/>
      <x:c r="Y36" s="15" t="str">
        <x:v>https://netshort.com/hotseries/lv1-legend-sweet-new-2040041912966475778</x:v>
      </x:c>
      <x:c r="Z36" s="15" t="str">
        <x:v>제작 AIGC 직접 표기 확인 필요.</x:v>
      </x:c>
    </x:row>
    <x:row r="37">
      <x:c r="A37" s="15" t="str">
        <x:v>L0036</x:v>
      </x:c>
      <x:c r="B37" s="15" t="str">
        <x:v>2026-04</x:v>
      </x:c>
      <x:c r="C37" s="15" t="str">
        <x:v>NetShort</x:v>
      </x:c>
      <x:c r="D37" s="15" t="str">
        <x:v>Base_XLSX</x:v>
      </x:c>
      <x:c r="E37" s="15" t="n">
        <x:v>2</x:v>
      </x:c>
      <x:c r="F37" s="15" t="str">
        <x:v>Base only</x:v>
      </x:c>
      <x:c r="G37" s="15" t="str">
        <x:v>From Victim to Mrs. CEO</x:v>
      </x:c>
      <x:c r="H37" s="15" t="str">
        <x:v>From Victim to Mrs. CEO</x:v>
      </x:c>
      <x:c r="I37" s="15" t="str">
        <x:v>Live-action/dubbed; AIGC not flagged</x:v>
      </x:c>
      <x:c r="J37" s="15" t="str">
        <x:v>Not flagged</x:v>
      </x:c>
      <x:c r="K37" s="15" t="str">
        <x:v>Female / Romance</x:v>
      </x:c>
      <x:c r="L37" s="15" t="str">
        <x:v>Wish-Fulfillment / CEO Romance</x:v>
      </x:c>
      <x:c r="M37" s="15" t="str">
        <x:v>High-status partner/authority</x:v>
      </x:c>
      <x:c r="N37" s="15" t="str">
        <x:v>강한 케미·보호/소유 신호를 주되 감정 확정은 지연</x:v>
      </x:c>
      <x:c r="O37" s="15" t="str">
        <x:v>Medium-High: 압도적 외모·의상·공간 미감으로 실사형 보상 강화</x:v>
      </x:c>
      <x:c r="P37" s="15" t="str">
        <x:v>피해자 위치의 여성이 CEO 아내/권력자로 상승하는 소망충족형 로맨스.</x:v>
      </x:c>
      <x:c r="Q37" s="15" t="str">
        <x:v>공식 페이지 신작 태그 확인.</x:v>
      </x:c>
      <x:c r="R37" s="15" t="str">
        <x:v>Release date 2026-04-25; runtime 57 min.</x:v>
      </x:c>
      <x:c r="S37" s="15" t="str">
        <x:v>A / Strong verified</x:v>
      </x:c>
      <x:c r="T37" s="18" t="n">
        <x:v>100</x:v>
      </x:c>
      <x:c r="U37" s="15" t="str">
        <x:v>A_Core</x:v>
      </x:c>
      <x:c r="V37" s="15" t="str">
        <x:v>KEEP</x:v>
      </x:c>
      <x:c r="W37" s="15" t="str"/>
      <x:c r="X37" s="15" t="str"/>
      <x:c r="Y37" s="15" t="str">
        <x:v>https://netshort.com/hotseries/from-victim-to-mrs-ceo-new-2046845379923910658</x:v>
      </x:c>
      <x:c r="Z37" s="15" t="str"/>
    </x:row>
    <x:row r="38">
      <x:c r="A38" s="15" t="str">
        <x:v>L0037</x:v>
      </x:c>
      <x:c r="B38" s="15" t="str">
        <x:v>2026-04</x:v>
      </x:c>
      <x:c r="C38" s="15" t="str">
        <x:v>NetShort</x:v>
      </x:c>
      <x:c r="D38" s="15" t="str">
        <x:v>Base_XLSX</x:v>
      </x:c>
      <x:c r="E38" s="15" t="n">
        <x:v>3</x:v>
      </x:c>
      <x:c r="F38" s="15" t="str">
        <x:v>Base only</x:v>
      </x:c>
      <x:c r="G38" s="15" t="str">
        <x:v>No More Love, Just Trillions</x:v>
      </x:c>
      <x:c r="H38" s="15" t="str">
        <x:v>No More Love, Just Trillions</x:v>
      </x:c>
      <x:c r="I38" s="15" t="str">
        <x:v>Live-action/dubbed; AIGC not flagged</x:v>
      </x:c>
      <x:c r="J38" s="15" t="str">
        <x:v>Not flagged</x:v>
      </x:c>
      <x:c r="K38" s="15" t="str">
        <x:v>Female / Romance</x:v>
      </x:c>
      <x:c r="L38" s="15" t="str">
        <x:v>Corporate Warfare / Revenge / Feel-Good</x:v>
      </x:c>
      <x:c r="M38" s="15" t="str">
        <x:v>Revenge/regret payoff</x:v>
      </x:c>
      <x:c r="N38" s="15" t="str">
        <x:v>굴욕/배신 후 첫 반격을 예고하고 본격 응징은 지연</x:v>
      </x:c>
      <x:c r="O38" s="15" t="str">
        <x:v>Medium: 광고 컷·후킹 이미지 보강용</x:v>
      </x:c>
      <x:c r="P38" s="15" t="str">
        <x:v>사랑을 버리고 조 단위 부/기업전쟁으로 복수하는 여성/권력극.</x:v>
      </x:c>
      <x:c r="Q38" s="15" t="str">
        <x:v>공식 페이지 신작 태그 확인.</x:v>
      </x:c>
      <x:c r="R38" s="15" t="str">
        <x:v>Release date 2026-04-28; runtime 148 min.</x:v>
      </x:c>
      <x:c r="S38" s="15" t="str">
        <x:v>A / Strong verified</x:v>
      </x:c>
      <x:c r="T38" s="18" t="n">
        <x:v>100</x:v>
      </x:c>
      <x:c r="U38" s="15" t="str">
        <x:v>A_Core</x:v>
      </x:c>
      <x:c r="V38" s="15" t="str">
        <x:v>KEEP</x:v>
      </x:c>
      <x:c r="W38" s="15" t="str"/>
      <x:c r="X38" s="15" t="str"/>
      <x:c r="Y38" s="15" t="str">
        <x:v>https://netshort.com/hotseries/no-more-love-just-trillions-new-2048371127192350722</x:v>
      </x:c>
      <x:c r="Z38" s="15" t="str"/>
    </x:row>
    <x:row r="39">
      <x:c r="A39" s="15" t="str">
        <x:v>L0038</x:v>
      </x:c>
      <x:c r="B39" s="15" t="str">
        <x:v>2026-04</x:v>
      </x:c>
      <x:c r="C39" s="15" t="str">
        <x:v>NetShort</x:v>
      </x:c>
      <x:c r="D39" s="15" t="str">
        <x:v>Base_XLSX</x:v>
      </x:c>
      <x:c r="E39" s="15" t="n">
        <x:v>4</x:v>
      </x:c>
      <x:c r="F39" s="15" t="str">
        <x:v>Base only</x:v>
      </x:c>
      <x:c r="G39" s="15" t="str">
        <x:v>Biting into Sweet Love</x:v>
      </x:c>
      <x:c r="H39" s="15" t="str">
        <x:v>Biting into Sweet Love</x:v>
      </x:c>
      <x:c r="I39" s="15" t="str">
        <x:v>Live-action/dubbed; AIGC not flagged</x:v>
      </x:c>
      <x:c r="J39" s="15" t="str">
        <x:v>Not flagged</x:v>
      </x:c>
      <x:c r="K39" s="15" t="str">
        <x:v>Female / Romance</x:v>
      </x:c>
      <x:c r="L39" s="15" t="str">
        <x:v>Contract Lovers / Secret Crush / Forced Love</x:v>
      </x:c>
      <x:c r="M39" s="15" t="str">
        <x:v>Hidden-identity reveal</x:v>
      </x:c>
      <x:c r="N39" s="15" t="str">
        <x:v>정체/권력 공개 직전까지 결핍·오해를 누적</x:v>
      </x:c>
      <x:c r="O39" s="15" t="str">
        <x:v>Medium: 광고 컷·후킹 이미지 보강용</x:v>
      </x:c>
      <x:c r="P39" s="15" t="str">
        <x:v>계약 연애와 오래된 짝사랑이 실제 사랑으로 전환되는 로맨스.</x:v>
      </x:c>
      <x:c r="Q39" s="15" t="str">
        <x:v>공식 페이지 신작 태그 확인.</x:v>
      </x:c>
      <x:c r="R39" s="15" t="str">
        <x:v>Release date 2026-04-16; runtime 147 min.</x:v>
      </x:c>
      <x:c r="S39" s="15" t="str">
        <x:v>A / Strong verified</x:v>
      </x:c>
      <x:c r="T39" s="18" t="n">
        <x:v>100</x:v>
      </x:c>
      <x:c r="U39" s="15" t="str">
        <x:v>A_Core</x:v>
      </x:c>
      <x:c r="V39" s="15" t="str">
        <x:v>KEEP</x:v>
      </x:c>
      <x:c r="W39" s="15" t="str"/>
      <x:c r="X39" s="15" t="str"/>
      <x:c r="Y39" s="15" t="str">
        <x:v>https://netshort.com/hotseries/biting-into-sweet-love-new-2043747419382218753</x:v>
      </x:c>
      <x:c r="Z39" s="15" t="str"/>
    </x:row>
    <x:row r="40">
      <x:c r="A40" s="15" t="str">
        <x:v>L0039</x:v>
      </x:c>
      <x:c r="B40" s="15" t="str">
        <x:v>2026-04</x:v>
      </x:c>
      <x:c r="C40" s="15" t="str">
        <x:v>NetShort</x:v>
      </x:c>
      <x:c r="D40" s="15" t="str">
        <x:v>Base_XLSX</x:v>
      </x:c>
      <x:c r="E40" s="15" t="n">
        <x:v>5</x:v>
      </x:c>
      <x:c r="F40" s="15" t="str">
        <x:v>Base only</x:v>
      </x:c>
      <x:c r="G40" s="15" t="str">
        <x:v>Substitute Bride: A Twin's Revenge</x:v>
      </x:c>
      <x:c r="H40" s="15" t="str">
        <x:v>Substitute Bride: A Twin's Revenge</x:v>
      </x:c>
      <x:c r="I40" s="15" t="str">
        <x:v>Live-action/dubbed; AIGC not flagged</x:v>
      </x:c>
      <x:c r="J40" s="15" t="str">
        <x:v>Not flagged</x:v>
      </x:c>
      <x:c r="K40" s="15" t="str">
        <x:v>Female / Romance</x:v>
      </x:c>
      <x:c r="L40" s="15" t="str">
        <x:v>Substitute Bride / Twin Revenge</x:v>
      </x:c>
      <x:c r="M40" s="15" t="str">
        <x:v>Revenge/regret payoff</x:v>
      </x:c>
      <x:c r="N40" s="15" t="str">
        <x:v>굴욕/배신 후 첫 반격을 예고하고 본격 응징은 지연</x:v>
      </x:c>
      <x:c r="O40" s="15" t="str">
        <x:v>Medium-High: 압도적 외모·의상·공간 미감으로 실사형 보상 강화</x:v>
      </x:c>
      <x:c r="P40" s="15" t="str">
        <x:v>쌍둥이/대리 신부를 통한 신분 교체와 복수극.</x:v>
      </x:c>
      <x:c r="Q40" s="15" t="str">
        <x:v>공식 페이지 신작 태그 확인.</x:v>
      </x:c>
      <x:c r="R40" s="15" t="str">
        <x:v>Release date 2026-04-12; runtime 96 min.</x:v>
      </x:c>
      <x:c r="S40" s="15" t="str">
        <x:v>A / Strong verified</x:v>
      </x:c>
      <x:c r="T40" s="18" t="n">
        <x:v>100</x:v>
      </x:c>
      <x:c r="U40" s="15" t="str">
        <x:v>A_Core</x:v>
      </x:c>
      <x:c r="V40" s="15" t="str">
        <x:v>KEEP</x:v>
      </x:c>
      <x:c r="W40" s="15" t="str"/>
      <x:c r="X40" s="15" t="str"/>
      <x:c r="Y40" s="15" t="str">
        <x:v>https://netshort.com/hotseries/substitute-bride-a-twins-revenge-new-2042318371889209345</x:v>
      </x:c>
      <x:c r="Z40" s="15" t="str"/>
    </x:row>
    <x:row r="41">
      <x:c r="A41" s="15" t="str">
        <x:v>L0040</x:v>
      </x:c>
      <x:c r="B41" s="15" t="str">
        <x:v>2026-05</x:v>
      </x:c>
      <x:c r="C41" s="15" t="str">
        <x:v>NetShort</x:v>
      </x:c>
      <x:c r="D41" s="15" t="str">
        <x:v>Base_XLSX</x:v>
      </x:c>
      <x:c r="E41" s="15" t="n">
        <x:v>1</x:v>
      </x:c>
      <x:c r="F41" s="15" t="str">
        <x:v>Base only</x:v>
      </x:c>
      <x:c r="G41" s="15" t="str">
        <x:v>Limitless Evolution: The Spider Scourge</x:v>
      </x:c>
      <x:c r="H41" s="15" t="str">
        <x:v>Limitless Evolution: The Spider Scourge</x:v>
      </x:c>
      <x:c r="I41" s="15" t="str">
        <x:v>AIGC/animation-like candidate; official AIGC flag not found</x:v>
      </x:c>
      <x:c r="J41" s="15" t="str">
        <x:v>AIGC/Animation candidate</x:v>
      </x:c>
      <x:c r="K41" s="15" t="str">
        <x:v>Male / Power fantasy</x:v>
      </x:c>
      <x:c r="L41" s="15" t="str">
        <x:v>Fantasy / Life OL / Devour Evolution / Monster Power-Up</x:v>
      </x:c>
      <x:c r="M41" s="15" t="str">
        <x:v>Progression/spectacle</x:v>
      </x:c>
      <x:c r="N41" s="15" t="str">
        <x:v>첫 각성·첫 스킬만 보여주고 상위 보스/진짜 권위는 유료부로 이월</x:v>
      </x:c>
      <x:c r="O41" s="15" t="str">
        <x:v>High: VFX·세계관·시스템 UI·비현실 스케일을 직접 보상화</x:v>
      </x:c>
      <x:c r="P41" s="15" t="str">
        <x:v>약한 거미로 전생한 남자가 포식 진화 시스템으로 몬스터를 먹고 신이 되어 인류를 구함.</x:v>
      </x:c>
      <x:c r="Q41" s="15" t="str">
        <x:v>공식 Hot/episode 페이지에서 반복 노출; 현행 추천 영역에도 노출.</x:v>
      </x:c>
      <x:c r="R41" s="15" t="str">
        <x:v>Official full-episodes page; current hot/recommended signal.</x:v>
      </x:c>
      <x:c r="S41" s="15" t="str">
        <x:v>A / Strong verified</x:v>
      </x:c>
      <x:c r="T41" s="18" t="n">
        <x:v>96</x:v>
      </x:c>
      <x:c r="U41" s="15" t="str">
        <x:v>A_Core</x:v>
      </x:c>
      <x:c r="V41" s="15" t="str">
        <x:v>KEEP</x:v>
      </x:c>
      <x:c r="W41" s="15" t="str"/>
      <x:c r="X41" s="15" t="str"/>
      <x:c r="Y41" s="15" t="str">
        <x:v>https://netshort.com/full-episodes/limitless-evolution-the-spider-scourge-2049733219590340610 | https://netshort.com/hotseries</x:v>
      </x:c>
      <x:c r="Z41" s="15" t="str">
        <x:v>제작 AIGC 직접 표기 확인 필요.</x:v>
      </x:c>
    </x:row>
    <x:row r="42">
      <x:c r="A42" s="15" t="str">
        <x:v>L0041</x:v>
      </x:c>
      <x:c r="B42" s="15" t="str">
        <x:v>2026-05</x:v>
      </x:c>
      <x:c r="C42" s="15" t="str">
        <x:v>NetShort</x:v>
      </x:c>
      <x:c r="D42" s="15" t="str">
        <x:v>Base_XLSX</x:v>
      </x:c>
      <x:c r="E42" s="15" t="n">
        <x:v>2</x:v>
      </x:c>
      <x:c r="F42" s="15" t="str">
        <x:v>Base only</x:v>
      </x:c>
      <x:c r="G42" s="15" t="str">
        <x:v>Betrayed? I Rule the Ocean!</x:v>
      </x:c>
      <x:c r="H42" s="15" t="str">
        <x:v>Betrayed? I Rule the Ocean!</x:v>
      </x:c>
      <x:c r="I42" s="15" t="str">
        <x:v>AIGC candidate; official AIGC flag not found</x:v>
      </x:c>
      <x:c r="J42" s="15" t="str">
        <x:v>AIGC/Animation candidate</x:v>
      </x:c>
      <x:c r="K42" s="15" t="str">
        <x:v>Mixed / General</x:v>
      </x:c>
      <x:c r="L42" s="15" t="str">
        <x:v>Rural Life / Underdog Rise / Rags to Riches / Ocean Empire</x:v>
      </x:c>
      <x:c r="M42" s="15" t="str">
        <x:v>Revenge/regret payoff</x:v>
      </x:c>
      <x:c r="N42" s="15" t="str">
        <x:v>굴욕/배신 후 첫 반격을 예고하고 본격 응징은 지연</x:v>
      </x:c>
      <x:c r="O42" s="15" t="str">
        <x:v>High: VFX·세계관·시스템 UI·비현실 스케일을 직접 보상화</x:v>
      </x:c>
      <x:c r="P42" s="15" t="str">
        <x:v>탐욕스러운 삼촌에게 착취당한 천재 선장이 망가진 배로 바다 제국을 세움.</x:v>
      </x:c>
      <x:c r="Q42" s="15" t="str">
        <x:v>공식 페이지 리뷰: 현금 투척·항구 배신 장면 반응 다수.</x:v>
      </x:c>
      <x:c r="R42" s="15" t="str">
        <x:v>Release date 2026-05-10; hot/episode review signals.</x:v>
      </x:c>
      <x:c r="S42" s="15" t="str">
        <x:v>A / Strong verified</x:v>
      </x:c>
      <x:c r="T42" s="18" t="n">
        <x:v>88</x:v>
      </x:c>
      <x:c r="U42" s="15" t="str">
        <x:v>A_Core</x:v>
      </x:c>
      <x:c r="V42" s="15" t="str">
        <x:v>KEEP</x:v>
      </x:c>
      <x:c r="W42" s="15" t="str"/>
      <x:c r="X42" s="15" t="str"/>
      <x:c r="Y42" s="15" t="str">
        <x:v>https://netshort.com/full-episodes/betrayed-i-rule-the-ocean-2051569628911501313 | https://netshort.com/hotseries/betrayed-i-rule-the-ocean-2051569628911501313</x:v>
      </x:c>
      <x:c r="Z42" s="15" t="str">
        <x:v>제작 AIGC 직접 표기 확인 필요.</x:v>
      </x:c>
    </x:row>
    <x:row r="43">
      <x:c r="A43" s="15" t="str">
        <x:v>L0042</x:v>
      </x:c>
      <x:c r="B43" s="15" t="str">
        <x:v>2026-05</x:v>
      </x:c>
      <x:c r="C43" s="15" t="str">
        <x:v>NetShort</x:v>
      </x:c>
      <x:c r="D43" s="15" t="str">
        <x:v>Base_XLSX</x:v>
      </x:c>
      <x:c r="E43" s="15" t="n">
        <x:v>3</x:v>
      </x:c>
      <x:c r="F43" s="15" t="str">
        <x:v>Base only</x:v>
      </x:c>
      <x:c r="G43" s="15" t="str">
        <x:v>Till We Meet Again</x:v>
      </x:c>
      <x:c r="H43" s="15" t="str">
        <x:v>Till We Meet Again</x:v>
      </x:c>
      <x:c r="I43" s="15" t="str">
        <x:v>Live-action/dubbed; AIGC not flagged</x:v>
      </x:c>
      <x:c r="J43" s="15" t="str">
        <x:v>Not flagged</x:v>
      </x:c>
      <x:c r="K43" s="15" t="str">
        <x:v>Female / Family-romance</x:v>
      </x:c>
      <x:c r="L43" s="15" t="str">
        <x:v>Runaway Pregnancy / Second Chance / Tragic Love</x:v>
      </x:c>
      <x:c r="M43" s="15" t="str">
        <x:v>Child/family reunion</x:v>
      </x:c>
      <x:c r="N43" s="15" t="str">
        <x:v>혈연/아이 진실을 반쯤 드러내고 대면·인정은 지연</x:v>
      </x:c>
      <x:c r="O43" s="15" t="str">
        <x:v>Medium: 아이/가족 감정은 직관화하되 섬세한 연기는 과신 금지</x:v>
      </x:c>
      <x:c r="P43" s="15" t="str">
        <x:v>도망친 임신/재회/비극적 사랑을 결합한 로맨스.</x:v>
      </x:c>
      <x:c r="Q43" s="15" t="str">
        <x:v>공식 페이지 신작 태그 확인.</x:v>
      </x:c>
      <x:c r="R43" s="15" t="str">
        <x:v>Release date 2026-05-14; runtime 93 min.</x:v>
      </x:c>
      <x:c r="S43" s="15" t="str">
        <x:v>A / Strong verified</x:v>
      </x:c>
      <x:c r="T43" s="18" t="n">
        <x:v>100</x:v>
      </x:c>
      <x:c r="U43" s="15" t="str">
        <x:v>A_Core</x:v>
      </x:c>
      <x:c r="V43" s="15" t="str">
        <x:v>KEEP</x:v>
      </x:c>
      <x:c r="W43" s="15" t="str"/>
      <x:c r="X43" s="15" t="str"/>
      <x:c r="Y43" s="15" t="str">
        <x:v>https://netshort.com/hotseries/till-we-meet-again-new-2053840254111975425</x:v>
      </x:c>
      <x:c r="Z43" s="15" t="str"/>
    </x:row>
    <x:row r="44">
      <x:c r="A44" s="15" t="str">
        <x:v>L0043</x:v>
      </x:c>
      <x:c r="B44" s="15" t="str">
        <x:v>2026-05</x:v>
      </x:c>
      <x:c r="C44" s="15" t="str">
        <x:v>NetShort</x:v>
      </x:c>
      <x:c r="D44" s="15" t="str">
        <x:v>Base_XLSX</x:v>
      </x:c>
      <x:c r="E44" s="15" t="n">
        <x:v>4</x:v>
      </x:c>
      <x:c r="F44" s="15" t="str">
        <x:v>Base only</x:v>
      </x:c>
      <x:c r="G44" s="15" t="str">
        <x:v>You Loved A Lie, Mr. Idiot!</x:v>
      </x:c>
      <x:c r="H44" s="15" t="str">
        <x:v>You Loved A Lie, Mr. Idiot!</x:v>
      </x:c>
      <x:c r="I44" s="15" t="str">
        <x:v>Live-action/dubbed; AIGC not flagged</x:v>
      </x:c>
      <x:c r="J44" s="15" t="str">
        <x:v>Not flagged</x:v>
      </x:c>
      <x:c r="K44" s="15" t="str">
        <x:v>Female / Romance</x:v>
      </x:c>
      <x:c r="L44" s="15" t="str">
        <x:v>Mistaken Identity / All-Too-Late / Tragic Love</x:v>
      </x:c>
      <x:c r="M44" s="15" t="str">
        <x:v>Revenge/regret payoff</x:v>
      </x:c>
      <x:c r="N44" s="15" t="str">
        <x:v>정체/권력 공개 직전까지 결핍·오해를 누적</x:v>
      </x:c>
      <x:c r="O44" s="15" t="str">
        <x:v>Medium: 광고 컷·후킹 이미지 보강용</x:v>
      </x:c>
      <x:c r="P44" s="15" t="str">
        <x:v>사랑한 여자가 거짓이었다는 인식 후 뒤늦은 후회로 치닫는 로맨스.</x:v>
      </x:c>
      <x:c r="Q44" s="15" t="str">
        <x:v>공식 페이지 신작 태그 확인.</x:v>
      </x:c>
      <x:c r="R44" s="15" t="str">
        <x:v>Release date 2026-05-12; runtime 112 min.</x:v>
      </x:c>
      <x:c r="S44" s="15" t="str">
        <x:v>A / Strong verified</x:v>
      </x:c>
      <x:c r="T44" s="18" t="n">
        <x:v>100</x:v>
      </x:c>
      <x:c r="U44" s="15" t="str">
        <x:v>A_Core</x:v>
      </x:c>
      <x:c r="V44" s="15" t="str">
        <x:v>KEEP</x:v>
      </x:c>
      <x:c r="W44" s="15" t="str"/>
      <x:c r="X44" s="15" t="str"/>
      <x:c r="Y44" s="15" t="str">
        <x:v>https://netshort.com/hotseries/you-loved-a-lie-mr-idiot-new-2053039202098233345</x:v>
      </x:c>
      <x:c r="Z44" s="15" t="str"/>
    </x:row>
    <x:row r="45">
      <x:c r="A45" s="15" t="str">
        <x:v>L0044</x:v>
      </x:c>
      <x:c r="B45" s="15" t="str">
        <x:v>2026-05</x:v>
      </x:c>
      <x:c r="C45" s="15" t="str">
        <x:v>NetShort</x:v>
      </x:c>
      <x:c r="D45" s="15" t="str">
        <x:v>Base_XLSX</x:v>
      </x:c>
      <x:c r="E45" s="15" t="n">
        <x:v>5</x:v>
      </x:c>
      <x:c r="F45" s="15" t="str">
        <x:v>Base only</x:v>
      </x:c>
      <x:c r="G45" s="15" t="str">
        <x:v>I Bet All I Have on Him</x:v>
      </x:c>
      <x:c r="H45" s="15" t="str">
        <x:v>I Bet All I Have on Him</x:v>
      </x:c>
      <x:c r="I45" s="15" t="str">
        <x:v>Live-action/dubbed; AIGC not flagged</x:v>
      </x:c>
      <x:c r="J45" s="15" t="str">
        <x:v>Not flagged</x:v>
      </x:c>
      <x:c r="K45" s="15" t="str">
        <x:v>Female / Romance</x:v>
      </x:c>
      <x:c r="L45" s="15" t="str">
        <x:v>Romantic Marriage / Contract Lovers / Redemption</x:v>
      </x:c>
      <x:c r="M45" s="15" t="str">
        <x:v>Core melodrama hook</x:v>
      </x:c>
      <x:c r="N45" s="15" t="str">
        <x:v>무료부에서는 결핍과 예고, 유료부에서는 보상/진실/역전</x:v>
      </x:c>
      <x:c r="O45" s="15" t="str">
        <x:v>Medium: 광고 컷·후킹 이미지 보강용</x:v>
      </x:c>
      <x:c r="P45" s="15" t="str">
        <x:v>모든 것을 건 계약/결혼 관계가 구원과 로맨스로 변하는 구조.</x:v>
      </x:c>
      <x:c r="Q45" s="15" t="str">
        <x:v>공식 페이지 신작 태그 확인.</x:v>
      </x:c>
      <x:c r="R45" s="15" t="str">
        <x:v>Release date 2026-05-14; runtime 111 min.</x:v>
      </x:c>
      <x:c r="S45" s="15" t="str">
        <x:v>A / Strong verified</x:v>
      </x:c>
      <x:c r="T45" s="18" t="n">
        <x:v>100</x:v>
      </x:c>
      <x:c r="U45" s="15" t="str">
        <x:v>A_Core</x:v>
      </x:c>
      <x:c r="V45" s="15" t="str">
        <x:v>KEEP</x:v>
      </x:c>
      <x:c r="W45" s="15" t="str"/>
      <x:c r="X45" s="15" t="str"/>
      <x:c r="Y45" s="15" t="str">
        <x:v>https://netshort.com/hotseries/i-bet-all-i-have-on-him-new-2053840201245995009</x:v>
      </x:c>
      <x:c r="Z45" s="15" t="str"/>
    </x:row>
    <x:row r="46">
      <x:c r="A46" s="15" t="str">
        <x:v>L0045</x:v>
      </x:c>
      <x:c r="B46" s="15" t="str">
        <x:v>2025-06</x:v>
      </x:c>
      <x:c r="C46" s="15" t="str">
        <x:v>ReelShort</x:v>
      </x:c>
      <x:c r="D46" s="15" t="str">
        <x:v>Base_XLSX</x:v>
      </x:c>
      <x:c r="E46" s="15" t="n">
        <x:v>1</x:v>
      </x:c>
      <x:c r="F46" s="15" t="str">
        <x:v>Base only</x:v>
      </x:c>
      <x:c r="G46" s="15" t="str">
        <x:v>What My Poor Ex-Wife Is My Boss</x:v>
      </x:c>
      <x:c r="H46" s="15" t="str">
        <x:v>What My Poor Ex-Wife Is My Boss</x:v>
      </x:c>
      <x:c r="I46" s="15" t="str">
        <x:v>Live-action; AIGC not flagged</x:v>
      </x:c>
      <x:c r="J46" s="15" t="str">
        <x:v>Not flagged</x:v>
      </x:c>
      <x:c r="K46" s="15" t="str">
        <x:v>Female / Romance</x:v>
      </x:c>
      <x:c r="L46" s="15" t="str">
        <x:v>Ex-wife Boss / Hidden Identity / Revenge Romance</x:v>
      </x:c>
      <x:c r="M46" s="15" t="str">
        <x:v>Hidden-identity reveal + Revenge/regret payoff + Progression/spectacle</x:v>
      </x:c>
      <x:c r="N46" s="15" t="str">
        <x:v>정체/권력 공개 직전까지 결핍·오해를 누적</x:v>
      </x:c>
      <x:c r="O46" s="15" t="str">
        <x:v>High: VFX·세계관·시스템 UI·비현실 스케일을 직접 보상화</x:v>
      </x:c>
      <x:c r="P46" s="15" t="str">
        <x:v>가난한 전처가 사실 상사/권력자였다는 후회남·신분역전 구조.</x:v>
      </x:c>
      <x:c r="Q46" s="15" t="str">
        <x:v>공식 Fandom 기사 기준 검색·해설 수요 확인.</x:v>
      </x:c>
      <x:c r="R46" s="15" t="str">
        <x:v>Publication 2025-06-21; ReelShort article.</x:v>
      </x:c>
      <x:c r="S46" s="15" t="str">
        <x:v>B / Useful verified</x:v>
      </x:c>
      <x:c r="T46" s="18" t="n">
        <x:v>73</x:v>
      </x:c>
      <x:c r="U46" s="15" t="str">
        <x:v>B_Strong</x:v>
      </x:c>
      <x:c r="V46" s="15" t="str">
        <x:v>KEEP</x:v>
      </x:c>
      <x:c r="W46" s="15" t="str"/>
      <x:c r="X46" s="15" t="str"/>
      <x:c r="Y46" s="15" t="str">
        <x:v>https://www.reelshort.com/fandom/what-my-poor-ex-wife-is-my-boss-01-7/</x:v>
      </x:c>
      <x:c r="Z46" s="15" t="str"/>
    </x:row>
    <x:row r="47">
      <x:c r="A47" s="15" t="str">
        <x:v>L0046</x:v>
      </x:c>
      <x:c r="B47" s="15" t="str">
        <x:v>2025-06</x:v>
      </x:c>
      <x:c r="C47" s="15" t="str">
        <x:v>ReelShort</x:v>
      </x:c>
      <x:c r="D47" s="15" t="str">
        <x:v>Base_XLSX</x:v>
      </x:c>
      <x:c r="E47" s="15" t="n">
        <x:v>2</x:v>
      </x:c>
      <x:c r="F47" s="15" t="str">
        <x:v>Base only</x:v>
      </x:c>
      <x:c r="G47" s="15" t="str">
        <x:v>Rejecting My Lycan Mate</x:v>
      </x:c>
      <x:c r="H47" s="15" t="str">
        <x:v>Rejecting My Lycan Mate</x:v>
      </x:c>
      <x:c r="I47" s="15" t="str">
        <x:v>Live-action; AIGC not flagged</x:v>
      </x:c>
      <x:c r="J47" s="15" t="str">
        <x:v>Not flagged</x:v>
      </x:c>
      <x:c r="K47" s="15" t="str">
        <x:v>Female / Romance</x:v>
      </x:c>
      <x:c r="L47" s="15" t="str">
        <x:v>Rejected Mate / Lycan / Werewolf Romance</x:v>
      </x:c>
      <x:c r="M47" s="15" t="str">
        <x:v>Core melodrama hook</x:v>
      </x:c>
      <x:c r="N47" s="15" t="str">
        <x:v>무료부에서는 결핍과 예고, 유료부에서는 보상/진실/역전</x:v>
      </x:c>
      <x:c r="O47" s="15" t="str">
        <x:v>Medium: 광고 컷·후킹 이미지 보강용</x:v>
      </x:c>
      <x:c r="P47" s="15" t="str">
        <x:v>라이칸/메이트 거절과 새 남자 등장으로 돌아가는 werewolf 로맨스.</x:v>
      </x:c>
      <x:c r="Q47" s="15" t="str">
        <x:v>Dailymotion/full episode recap 검색 신호 존재.</x:v>
      </x:c>
      <x:c r="R47" s="15" t="str">
        <x:v>Publication 2025-06-17.</x:v>
      </x:c>
      <x:c r="S47" s="15" t="str">
        <x:v>B / Useful verified</x:v>
      </x:c>
      <x:c r="T47" s="18" t="n">
        <x:v>73</x:v>
      </x:c>
      <x:c r="U47" s="15" t="str">
        <x:v>B_Strong</x:v>
      </x:c>
      <x:c r="V47" s="15" t="str">
        <x:v>KEEP</x:v>
      </x:c>
      <x:c r="W47" s="15" t="str"/>
      <x:c r="X47" s="15" t="str"/>
      <x:c r="Y47" s="15" t="str">
        <x:v>https://www.reelshort.com/fandom/rejecting-my-lycan-mate-dailymotion-8-aug/</x:v>
      </x:c>
      <x:c r="Z47" s="15" t="str"/>
    </x:row>
    <x:row r="48">
      <x:c r="A48" s="15" t="str">
        <x:v>L0047</x:v>
      </x:c>
      <x:c r="B48" s="15" t="str">
        <x:v>2025-06</x:v>
      </x:c>
      <x:c r="C48" s="15" t="str">
        <x:v>ReelShort</x:v>
      </x:c>
      <x:c r="D48" s="15" t="str">
        <x:v>Base_XLSX</x:v>
      </x:c>
      <x:c r="E48" s="15" t="n">
        <x:v>3</x:v>
      </x:c>
      <x:c r="F48" s="15" t="str">
        <x:v>Base only</x:v>
      </x:c>
      <x:c r="G48" s="15" t="str">
        <x:v>She Said Yes They Said Oops</x:v>
      </x:c>
      <x:c r="H48" s="15" t="str">
        <x:v>She Said Yes They Said Oops</x:v>
      </x:c>
      <x:c r="I48" s="15" t="str">
        <x:v>Live-action; AIGC not flagged</x:v>
      </x:c>
      <x:c r="J48" s="15" t="str">
        <x:v>Not flagged</x:v>
      </x:c>
      <x:c r="K48" s="15" t="str">
        <x:v>Family regret / mixed</x:v>
      </x:c>
      <x:c r="L48" s="15" t="str">
        <x:v>Heiress / Public Proof / Competition</x:v>
      </x:c>
      <x:c r="M48" s="15" t="str">
        <x:v>Hidden-identity reveal + Child/family reunion</x:v>
      </x:c>
      <x:c r="N48" s="15" t="str">
        <x:v>정체/권력 공개 직전까지 결핍·오해를 누적</x:v>
      </x:c>
      <x:c r="O48" s="15" t="str">
        <x:v>Medium: 아이/가족 감정은 직관화하되 섬세한 연기는 과신 금지</x:v>
      </x:c>
      <x:c r="P48" s="15" t="str">
        <x:v>상속녀 증명/가족 경쟁을 이용한 사이다형 로맨스.</x:v>
      </x:c>
      <x:c r="Q48" s="15" t="str">
        <x:v>Dailymotion guide 검색 신호 존재.</x:v>
      </x:c>
      <x:c r="R48" s="15" t="str">
        <x:v>Publication 2025-06-17.</x:v>
      </x:c>
      <x:c r="S48" s="15" t="str">
        <x:v>B / Useful verified</x:v>
      </x:c>
      <x:c r="T48" s="18" t="n">
        <x:v>73</x:v>
      </x:c>
      <x:c r="U48" s="15" t="str">
        <x:v>B_Strong</x:v>
      </x:c>
      <x:c r="V48" s="15" t="str">
        <x:v>KEEP</x:v>
      </x:c>
      <x:c r="W48" s="15" t="str"/>
      <x:c r="X48" s="15" t="str"/>
      <x:c r="Y48" s="15" t="str">
        <x:v>https://www.reelshort.com/fandom/she-said-yes-they-said-oops-dailymotion-8-aug/</x:v>
      </x:c>
      <x:c r="Z48" s="15" t="str"/>
    </x:row>
    <x:row r="49">
      <x:c r="A49" s="15" t="str">
        <x:v>L0048</x:v>
      </x:c>
      <x:c r="B49" s="15" t="str">
        <x:v>2025-07</x:v>
      </x:c>
      <x:c r="C49" s="15" t="str">
        <x:v>ReelShort</x:v>
      </x:c>
      <x:c r="D49" s="15" t="str">
        <x:v>Base_XLSX</x:v>
      </x:c>
      <x:c r="E49" s="15" t="n">
        <x:v>1</x:v>
      </x:c>
      <x:c r="F49" s="15" t="str">
        <x:v>Base only</x:v>
      </x:c>
      <x:c r="G49" s="15" t="str">
        <x:v>Fated To My Forbidden Alpha</x:v>
      </x:c>
      <x:c r="H49" s="15" t="str">
        <x:v>Fated To My Forbidden Alpha</x:v>
      </x:c>
      <x:c r="I49" s="15" t="str">
        <x:v>Live-action; AIGC not flagged</x:v>
      </x:c>
      <x:c r="J49" s="15" t="str">
        <x:v>Not flagged</x:v>
      </x:c>
      <x:c r="K49" s="15" t="str">
        <x:v>Female / Romance</x:v>
      </x:c>
      <x:c r="L49" s="15" t="str">
        <x:v>Werewolf / Fated Mate / Secret Identity / Love Triangle</x:v>
      </x:c>
      <x:c r="M49" s="15" t="str">
        <x:v>Hidden-identity reveal + High-status partner/authority</x:v>
      </x:c>
      <x:c r="N49" s="15" t="str">
        <x:v>정체/권력 공개 직전까지 결핍·오해를 누적</x:v>
      </x:c>
      <x:c r="O49" s="15" t="str">
        <x:v>Medium: 광고 컷·후킹 이미지 보강용</x:v>
      </x:c>
      <x:c r="P49" s="15" t="str">
        <x:v>학대받던 wolf girl이 진짜 정체와 두 번째 fated mate를 만나는 늑대인간 로맨스.</x:v>
      </x:c>
      <x:c r="Q49" s="15" t="str">
        <x:v>ReelShort werewolf 추천글에서 191.9M+ views로 언급.</x:v>
      </x:c>
      <x:c r="R49" s="15" t="str">
        <x:v>High legacy hit; Peacock licensing list also contains title.</x:v>
      </x:c>
      <x:c r="S49" s="15" t="str">
        <x:v>A / Strong verified</x:v>
      </x:c>
      <x:c r="T49" s="18" t="n">
        <x:v>88</x:v>
      </x:c>
      <x:c r="U49" s="15" t="str">
        <x:v>A_Core</x:v>
      </x:c>
      <x:c r="V49" s="15" t="str">
        <x:v>KEEP</x:v>
      </x:c>
      <x:c r="W49" s="15" t="str"/>
      <x:c r="X49" s="15" t="str"/>
      <x:c r="Y49" s="15" t="str">
        <x:v>https://www.reelshort.com/fandom/best-werewolf-movies-01-20/ | https://deadline.com/2026/05/reelshort-microdramas-peacock-licensing-fated-forbidden-alpha-call-boy-paris-1236507297/</x:v>
      </x:c>
      <x:c r="Z49" s="15" t="str"/>
    </x:row>
    <x:row r="50">
      <x:c r="A50" s="15" t="str">
        <x:v>L0049</x:v>
      </x:c>
      <x:c r="B50" s="15" t="str">
        <x:v>2025-07</x:v>
      </x:c>
      <x:c r="C50" s="15" t="str">
        <x:v>ReelShort</x:v>
      </x:c>
      <x:c r="D50" s="15" t="str">
        <x:v>Base_XLSX</x:v>
      </x:c>
      <x:c r="E50" s="15" t="n">
        <x:v>2</x:v>
      </x:c>
      <x:c r="F50" s="15" t="str">
        <x:v>Base only</x:v>
      </x:c>
      <x:c r="G50" s="15" t="str">
        <x:v>Accidental Surrogate for the Alpha</x:v>
      </x:c>
      <x:c r="H50" s="15" t="str">
        <x:v>Accidental Surrogate for the Alpha</x:v>
      </x:c>
      <x:c r="I50" s="15" t="str">
        <x:v>Live-action; AIGC not flagged</x:v>
      </x:c>
      <x:c r="J50" s="15" t="str">
        <x:v>Not flagged</x:v>
      </x:c>
      <x:c r="K50" s="15" t="str">
        <x:v>Female / Family-romance</x:v>
      </x:c>
      <x:c r="L50" s="15" t="str">
        <x:v>Werewolf / Accidental Pregnancy / Alpha Baby Daddy</x:v>
      </x:c>
      <x:c r="M50" s="15" t="str">
        <x:v>High-status partner/authority + Child/family reunion</x:v>
      </x:c>
      <x:c r="N50" s="15" t="str">
        <x:v>혈연/아이 진실을 반쯤 드러내고 대면·인정은 지연</x:v>
      </x:c>
      <x:c r="O50" s="15" t="str">
        <x:v>Medium-High: 압도적 외모·의상·공간 미감으로 실사형 보상 강화</x:v>
      </x:c>
      <x:c r="P50" s="15" t="str">
        <x:v>싱글맘/인공수정으로 임신했는데 태아가 알파의 아이였다는 반전.</x:v>
      </x:c>
      <x:c r="Q50" s="15" t="str">
        <x:v>ReelShort werewolf 추천글에서 114.7M+ views로 언급.</x:v>
      </x:c>
      <x:c r="R50" s="15" t="str">
        <x:v>Major werewolf library title.</x:v>
      </x:c>
      <x:c r="S50" s="15" t="str">
        <x:v>A / Strong verified</x:v>
      </x:c>
      <x:c r="T50" s="18" t="n">
        <x:v>88</x:v>
      </x:c>
      <x:c r="U50" s="15" t="str">
        <x:v>A_Core</x:v>
      </x:c>
      <x:c r="V50" s="15" t="str">
        <x:v>KEEP</x:v>
      </x:c>
      <x:c r="W50" s="15" t="str"/>
      <x:c r="X50" s="15" t="str"/>
      <x:c r="Y50" s="15" t="str">
        <x:v>https://www.reelshort.com/fandom/best-werewolf-movies-01-20/</x:v>
      </x:c>
      <x:c r="Z50" s="15" t="str"/>
    </x:row>
    <x:row r="51">
      <x:c r="A51" s="15" t="str">
        <x:v>L0050</x:v>
      </x:c>
      <x:c r="B51" s="15" t="str">
        <x:v>2025-07</x:v>
      </x:c>
      <x:c r="C51" s="15" t="str">
        <x:v>ReelShort</x:v>
      </x:c>
      <x:c r="D51" s="15" t="str">
        <x:v>Base_XLSX</x:v>
      </x:c>
      <x:c r="E51" s="15" t="n">
        <x:v>3</x:v>
      </x:c>
      <x:c r="F51" s="15" t="str">
        <x:v>Base only</x:v>
      </x:c>
      <x:c r="G51" s="15" t="str">
        <x:v>Vampire Seduction</x:v>
      </x:c>
      <x:c r="H51" s="15" t="str">
        <x:v>Vampire Seduction</x:v>
      </x:c>
      <x:c r="I51" s="15" t="str">
        <x:v>Live-action; AIGC not flagged</x:v>
      </x:c>
      <x:c r="J51" s="15" t="str">
        <x:v>Not flagged</x:v>
      </x:c>
      <x:c r="K51" s="15" t="str">
        <x:v>Female / Romance</x:v>
      </x:c>
      <x:c r="L51" s="15" t="str">
        <x:v>Vampire / Supernatural Romance / Seduction</x:v>
      </x:c>
      <x:c r="M51" s="15" t="str">
        <x:v>Core melodrama hook</x:v>
      </x:c>
      <x:c r="N51" s="15" t="str">
        <x:v>무료부에서는 결핍과 예고, 유료부에서는 보상/진실/역전</x:v>
      </x:c>
      <x:c r="O51" s="15" t="str">
        <x:v>Medium: 광고 컷·후킹 이미지 보강용</x:v>
      </x:c>
      <x:c r="P51" s="15" t="str">
        <x:v>자살을 강요받은 여성이 뱀파이어/초자연 욕망 구조로 진입.</x:v>
      </x:c>
      <x:c r="Q51" s="15" t="str">
        <x:v>ReelShort 2026 vampire movie 추천글에 포함.</x:v>
      </x:c>
      <x:c r="R51" s="15" t="str">
        <x:v>Public recommendation list signal.</x:v>
      </x:c>
      <x:c r="S51" s="15" t="str">
        <x:v>C / Watch</x:v>
      </x:c>
      <x:c r="T51" s="18" t="n">
        <x:v>56</x:v>
      </x:c>
      <x:c r="U51" s="15" t="str">
        <x:v>C_Watch</x:v>
      </x:c>
      <x:c r="V51" s="15" t="str">
        <x:v>POSSIBLE_REPLACE_BY_SUPPLEMENT</x:v>
      </x:c>
      <x:c r="W51" s="15" t="str">
        <x:v>Fated to My Homeless Billionaire Alpha</x:v>
      </x:c>
      <x:c r="X51" s="15" t="str">
        <x:v>동월·동플랫폼 보강자료 후보가 있고, 현행 행의 confidence가 Low라 교체 후보.</x:v>
      </x:c>
      <x:c r="Y51" s="15" t="str">
        <x:v>https://www.reelshort.com/fandom/best-werewolf-movies-01-20/</x:v>
      </x:c>
      <x:c r="Z51" s="15" t="str">
        <x:v>공식 성과/광고 집행량 재확인.</x:v>
      </x:c>
    </x:row>
    <x:row r="52">
      <x:c r="A52" s="15" t="str">
        <x:v>L0051</x:v>
      </x:c>
      <x:c r="B52" s="15" t="str">
        <x:v>2025-08</x:v>
      </x:c>
      <x:c r="C52" s="15" t="str">
        <x:v>ReelShort</x:v>
      </x:c>
      <x:c r="D52" s="15" t="str">
        <x:v>Base_XLSX</x:v>
      </x:c>
      <x:c r="E52" s="15" t="n">
        <x:v>1</x:v>
      </x:c>
      <x:c r="F52" s="15" t="str">
        <x:v>Base only</x:v>
      </x:c>
      <x:c r="G52" s="15" t="str">
        <x:v>The Hidden Billionaire in First Class</x:v>
      </x:c>
      <x:c r="H52" s="15" t="str">
        <x:v>The Hidden Billionaire in First Class</x:v>
      </x:c>
      <x:c r="I52" s="15" t="str">
        <x:v>Live-action; AIGC not flagged</x:v>
      </x:c>
      <x:c r="J52" s="15" t="str">
        <x:v>Not flagged</x:v>
      </x:c>
      <x:c r="K52" s="15" t="str">
        <x:v>Female / Romance</x:v>
      </x:c>
      <x:c r="L52" s="15" t="str">
        <x:v>Hidden Billionaire / First Class / Fake Dating / Age Gap</x:v>
      </x:c>
      <x:c r="M52" s="15" t="str">
        <x:v>Hidden-identity reveal + High-status partner/authority</x:v>
      </x:c>
      <x:c r="N52" s="15" t="str">
        <x:v>정체/권력 공개 직전까지 결핍·오해를 누적</x:v>
      </x:c>
      <x:c r="O52" s="15" t="str">
        <x:v>Medium-High: 압도적 외모·의상·공간 미감으로 실사형 보상 강화</x:v>
      </x:c>
      <x:c r="P52" s="15" t="str">
        <x:v>억만장자가 항공사 직원을 가장해 괴롭힘을 당하다 정체를 공개하고 승무원과 fake boyfriend 관계로 엮임.</x:v>
      </x:c>
      <x:c r="Q52" s="15" t="str">
        <x:v>Fandom article에서 배우·캐릭터·에피소드별 후킹 상세 정리.</x:v>
      </x:c>
      <x:c r="R52" s="15" t="str">
        <x:v>Publication 2025-08-27.</x:v>
      </x:c>
      <x:c r="S52" s="15" t="str">
        <x:v>A / Strong verified</x:v>
      </x:c>
      <x:c r="T52" s="18" t="n">
        <x:v>88</x:v>
      </x:c>
      <x:c r="U52" s="15" t="str">
        <x:v>A_Core</x:v>
      </x:c>
      <x:c r="V52" s="15" t="str">
        <x:v>KEEP</x:v>
      </x:c>
      <x:c r="W52" s="15" t="str"/>
      <x:c r="X52" s="15" t="str"/>
      <x:c r="Y52" s="15" t="str">
        <x:v>https://www.reelshort.com/fandom/jett-hawkins-and-evelyn-grant-01-6/</x:v>
      </x:c>
      <x:c r="Z52" s="15" t="str"/>
    </x:row>
    <x:row r="53">
      <x:c r="A53" s="15" t="str">
        <x:v>L0052</x:v>
      </x:c>
      <x:c r="B53" s="15" t="str">
        <x:v>2025-08</x:v>
      </x:c>
      <x:c r="C53" s="15" t="str">
        <x:v>ReelShort</x:v>
      </x:c>
      <x:c r="D53" s="15" t="str">
        <x:v>Base_XLSX</x:v>
      </x:c>
      <x:c r="E53" s="15" t="n">
        <x:v>2</x:v>
      </x:c>
      <x:c r="F53" s="15" t="str">
        <x:v>Base only</x:v>
      </x:c>
      <x:c r="G53" s="15" t="str">
        <x:v>The Year in His Chains</x:v>
      </x:c>
      <x:c r="H53" s="15" t="str">
        <x:v>The Year in His Chains</x:v>
      </x:c>
      <x:c r="I53" s="15" t="str">
        <x:v>Live-action; AIGC not flagged</x:v>
      </x:c>
      <x:c r="J53" s="15" t="str">
        <x:v>Not flagged</x:v>
      </x:c>
      <x:c r="K53" s="15" t="str">
        <x:v>Female / Romance</x:v>
      </x:c>
      <x:c r="L53" s="15" t="str">
        <x:v>Dark Romance / Captivity / Possessive Male Lead</x:v>
      </x:c>
      <x:c r="M53" s="15" t="str">
        <x:v>Core melodrama hook</x:v>
      </x:c>
      <x:c r="N53" s="15" t="str">
        <x:v>무료부에서는 결핍과 예고, 유료부에서는 보상/진실/역전</x:v>
      </x:c>
      <x:c r="O53" s="15" t="str">
        <x:v>Medium: 광고 컷·후킹 이미지 보강용</x:v>
      </x:c>
      <x:c r="P53" s="15" t="str">
        <x:v>사슬/구속 관계를 중심에 둔 어두운 집착형 로맨스.</x:v>
      </x:c>
      <x:c r="Q53" s="15" t="str">
        <x:v>Fandom cast/character guide 존재.</x:v>
      </x:c>
      <x:c r="R53" s="15" t="str">
        <x:v>Publication 2025-08-04.</x:v>
      </x:c>
      <x:c r="S53" s="15" t="str">
        <x:v>B / Useful verified</x:v>
      </x:c>
      <x:c r="T53" s="18" t="n">
        <x:v>73</x:v>
      </x:c>
      <x:c r="U53" s="15" t="str">
        <x:v>B_Strong</x:v>
      </x:c>
      <x:c r="V53" s="15" t="str">
        <x:v>KEEP</x:v>
      </x:c>
      <x:c r="W53" s="15" t="str"/>
      <x:c r="X53" s="15" t="str"/>
      <x:c r="Y53" s="15" t="str">
        <x:v>https://www.reelshort.com/fandom/the-year-in-his-chains-cast-01-2/</x:v>
      </x:c>
      <x:c r="Z53" s="15" t="str"/>
    </x:row>
    <x:row r="54">
      <x:c r="A54" s="15" t="str">
        <x:v>L0053</x:v>
      </x:c>
      <x:c r="B54" s="15" t="str">
        <x:v>2025-08</x:v>
      </x:c>
      <x:c r="C54" s="15" t="str">
        <x:v>ReelShort</x:v>
      </x:c>
      <x:c r="D54" s="15" t="str">
        <x:v>Base_XLSX</x:v>
      </x:c>
      <x:c r="E54" s="15" t="n">
        <x:v>3</x:v>
      </x:c>
      <x:c r="F54" s="15" t="str">
        <x:v>Base only</x:v>
      </x:c>
      <x:c r="G54" s="15" t="str">
        <x:v>Queen Mom Rules</x:v>
      </x:c>
      <x:c r="H54" s="15" t="str">
        <x:v>Queen Mom Rules</x:v>
      </x:c>
      <x:c r="I54" s="15" t="str">
        <x:v>Live-action; AIGC not flagged</x:v>
      </x:c>
      <x:c r="J54" s="15" t="str">
        <x:v>Not flagged</x:v>
      </x:c>
      <x:c r="K54" s="15" t="str">
        <x:v>Family regret / mixed</x:v>
      </x:c>
      <x:c r="L54" s="15" t="str">
        <x:v>Girl Boss / Secret Children / Family Revenge</x:v>
      </x:c>
      <x:c r="M54" s="15" t="str">
        <x:v>Hidden-identity reveal + Revenge/regret payoff + Child/family reunion</x:v>
      </x:c>
      <x:c r="N54" s="15" t="str">
        <x:v>정체/권력 공개 직전까지 결핍·오해를 누적</x:v>
      </x:c>
      <x:c r="O54" s="15" t="str">
        <x:v>High: VFX·세계관·시스템 UI·비현실 스케일을 직접 보상화</x:v>
      </x:c>
      <x:c r="P54" s="15" t="str">
        <x:v>세 아들과 함께 돌아온 girl boss 엄마가 과거와 권력을 되찾는 가족/여성향 사이다.</x:v>
      </x:c>
      <x:c r="Q54" s="15" t="str">
        <x:v>Fandom article title: Girl Boss Returns Home With 3 Sons.</x:v>
      </x:c>
      <x:c r="R54" s="15" t="str">
        <x:v>Publication 2025-08-25.</x:v>
      </x:c>
      <x:c r="S54" s="15" t="str">
        <x:v>B / Useful verified</x:v>
      </x:c>
      <x:c r="T54" s="18" t="n">
        <x:v>73</x:v>
      </x:c>
      <x:c r="U54" s="15" t="str">
        <x:v>B_Strong</x:v>
      </x:c>
      <x:c r="V54" s="15" t="str">
        <x:v>KEEP</x:v>
      </x:c>
      <x:c r="W54" s="15" t="str"/>
      <x:c r="X54" s="15" t="str"/>
      <x:c r="Y54" s="15" t="str">
        <x:v>https://www.reelshort.com/fandom/girl-boss-returns-home-with-3-sons-01-7/</x:v>
      </x:c>
      <x:c r="Z54" s="15" t="str"/>
    </x:row>
    <x:row r="55">
      <x:c r="A55" s="15" t="str">
        <x:v>L0054</x:v>
      </x:c>
      <x:c r="B55" s="15" t="str">
        <x:v>2025-09</x:v>
      </x:c>
      <x:c r="C55" s="15" t="str">
        <x:v>ReelShort</x:v>
      </x:c>
      <x:c r="D55" s="15" t="str">
        <x:v>Base_XLSX</x:v>
      </x:c>
      <x:c r="E55" s="15" t="n">
        <x:v>1</x:v>
      </x:c>
      <x:c r="F55" s="15" t="str">
        <x:v>Base only</x:v>
      </x:c>
      <x:c r="G55" s="15" t="str">
        <x:v>Carrying His Triplets, Becoming His Wifey</x:v>
      </x:c>
      <x:c r="H55" s="15" t="str">
        <x:v>Carrying His Triplets, Becoming His Wifey</x:v>
      </x:c>
      <x:c r="I55" s="15" t="str">
        <x:v>Live-action; AIGC not flagged</x:v>
      </x:c>
      <x:c r="J55" s="15" t="str">
        <x:v>Not flagged</x:v>
      </x:c>
      <x:c r="K55" s="15" t="str">
        <x:v>Female / Family-romance</x:v>
      </x:c>
      <x:c r="L55" s="15" t="str">
        <x:v>Triplets / Pregnancy / CEO Romance</x:v>
      </x:c>
      <x:c r="M55" s="15" t="str">
        <x:v>High-status partner/authority + Child/family reunion</x:v>
      </x:c>
      <x:c r="N55" s="15" t="str">
        <x:v>혈연/아이 진실을 반쯤 드러내고 대면·인정은 지연</x:v>
      </x:c>
      <x:c r="O55" s="15" t="str">
        <x:v>Medium-High: 압도적 외모·의상·공간 미감으로 실사형 보상 강화</x:v>
      </x:c>
      <x:c r="P55" s="15" t="str">
        <x:v>세쌍둥이 임신과 CEO/가족 결합을 밀어붙이는 임신 로맨스.</x:v>
      </x:c>
      <x:c r="Q55" s="15" t="str">
        <x:v>Fandom에서 Latest Romantic Drama로 캐스트/스토리 소개.</x:v>
      </x:c>
      <x:c r="R55" s="15" t="str">
        <x:v>Publication 2025-09-11.</x:v>
      </x:c>
      <x:c r="S55" s="15" t="str">
        <x:v>B / Useful verified</x:v>
      </x:c>
      <x:c r="T55" s="18" t="n">
        <x:v>73</x:v>
      </x:c>
      <x:c r="U55" s="15" t="str">
        <x:v>B_Strong</x:v>
      </x:c>
      <x:c r="V55" s="15" t="str">
        <x:v>KEEP</x:v>
      </x:c>
      <x:c r="W55" s="15" t="str"/>
      <x:c r="X55" s="15" t="str"/>
      <x:c r="Y55" s="15" t="str">
        <x:v>https://www.reelshort.com/fandom/carrying-his-triplets-becoming-his-wifey-cast-01-2-859dc0ec2889/</x:v>
      </x:c>
      <x:c r="Z55" s="15" t="str"/>
    </x:row>
    <x:row r="56">
      <x:c r="A56" s="15" t="str">
        <x:v>L0055</x:v>
      </x:c>
      <x:c r="B56" s="15" t="str">
        <x:v>2025-09</x:v>
      </x:c>
      <x:c r="C56" s="15" t="str">
        <x:v>ReelShort</x:v>
      </x:c>
      <x:c r="D56" s="15" t="str">
        <x:v>Base_XLSX</x:v>
      </x:c>
      <x:c r="E56" s="15" t="n">
        <x:v>2</x:v>
      </x:c>
      <x:c r="F56" s="15" t="str">
        <x:v>Base only</x:v>
      </x:c>
      <x:c r="G56" s="15" t="str">
        <x:v>Her Double, His Trouble</x:v>
      </x:c>
      <x:c r="H56" s="15" t="str">
        <x:v>Her Double, His Trouble</x:v>
      </x:c>
      <x:c r="I56" s="15" t="str">
        <x:v>Live-action; AIGC not flagged</x:v>
      </x:c>
      <x:c r="J56" s="15" t="str">
        <x:v>Not flagged</x:v>
      </x:c>
      <x:c r="K56" s="15" t="str">
        <x:v>Female / Romance</x:v>
      </x:c>
      <x:c r="L56" s="15" t="str">
        <x:v>Double Identity / Enemies-to-Lovers / Trouble Couple</x:v>
      </x:c>
      <x:c r="M56" s="15" t="str">
        <x:v>Core melodrama hook</x:v>
      </x:c>
      <x:c r="N56" s="15" t="str">
        <x:v>정체/권력 공개 직전까지 결핍·오해를 누적</x:v>
      </x:c>
      <x:c r="O56" s="15" t="str">
        <x:v>Medium: 광고 컷·후킹 이미지 보강용</x:v>
      </x:c>
      <x:c r="P56" s="15" t="str">
        <x:v>여주 더블/대체 정체가 남주와 갈등·집착을 만드는 로맨스.</x:v>
      </x:c>
      <x:c r="Q56" s="15" t="str">
        <x:v>Fandom에서 Erin/Damien intense fights 소개.</x:v>
      </x:c>
      <x:c r="R56" s="15" t="str">
        <x:v>Publication 2025-09-03.</x:v>
      </x:c>
      <x:c r="S56" s="15" t="str">
        <x:v>B / Useful verified</x:v>
      </x:c>
      <x:c r="T56" s="18" t="n">
        <x:v>73</x:v>
      </x:c>
      <x:c r="U56" s="15" t="str">
        <x:v>B_Strong</x:v>
      </x:c>
      <x:c r="V56" s="15" t="str">
        <x:v>KEEP</x:v>
      </x:c>
      <x:c r="W56" s="15" t="str"/>
      <x:c r="X56" s="15" t="str"/>
      <x:c r="Y56" s="15" t="str">
        <x:v>https://www.reelshort.com/fandom/her-double-his-trouble-erin-fitzroy-and-damien-maxwell-01-6/</x:v>
      </x:c>
      <x:c r="Z56" s="15" t="str"/>
    </x:row>
    <x:row r="57">
      <x:c r="A57" s="15" t="str">
        <x:v>L0056</x:v>
      </x:c>
      <x:c r="B57" s="15" t="str">
        <x:v>2025-09</x:v>
      </x:c>
      <x:c r="C57" s="15" t="str">
        <x:v>ReelShort</x:v>
      </x:c>
      <x:c r="D57" s="15" t="str">
        <x:v>Base+Supplement_DOCX</x:v>
      </x:c>
      <x:c r="E57" s="15" t="n">
        <x:v>3</x:v>
      </x:c>
      <x:c r="F57" s="15" t="str">
        <x:v>Merged / reinforced</x:v>
      </x:c>
      <x:c r="G57" s="15" t="str">
        <x:v>Was the Heiress Switched at Birth?</x:v>
      </x:c>
      <x:c r="H57" s="15" t="str">
        <x:v>Was the Heiress Switched at Birth?</x:v>
      </x:c>
      <x:c r="I57" s="15" t="str">
        <x:v>Live-action; AIGC not flagged</x:v>
      </x:c>
      <x:c r="J57" s="15" t="str">
        <x:v>Not flagged</x:v>
      </x:c>
      <x:c r="K57" s="15" t="str">
        <x:v>Family regret / mixed</x:v>
      </x:c>
      <x:c r="L57" s="15" t="str">
        <x:v>Switched at Birth / Heiress / Family Revenge</x:v>
      </x:c>
      <x:c r="M57" s="15" t="str">
        <x:v>Hidden-identity reveal + Revenge/regret payoff</x:v>
      </x:c>
      <x:c r="N57" s="15" t="str">
        <x:v>정체/권력 공개 직전까지 결핍·오해를 누적</x:v>
      </x:c>
      <x:c r="O57" s="15" t="str">
        <x:v>Medium: 아이/가족 감정은 직관화하되 섬세한 연기는 과신 금지</x:v>
      </x:c>
      <x:c r="P57" s="15" t="str">
        <x:v>출생의 비밀과 진짜/가짜 상속녀 대립을 전면화.</x:v>
      </x:c>
      <x:c r="Q57" s="15" t="str">
        <x:v>Upcoming drama cast/story guide 존재.</x:v>
      </x:c>
      <x:c r="R57" s="15" t="str">
        <x:v>Publication 2025-09-23.</x:v>
      </x:c>
      <x:c r="S57" s="15" t="str">
        <x:v>A / Strong verified</x:v>
      </x:c>
      <x:c r="T57" s="18" t="n">
        <x:v>86</x:v>
      </x:c>
      <x:c r="U57" s="15" t="str">
        <x:v>A_Core</x:v>
      </x:c>
      <x:c r="V57" s="15" t="str">
        <x:v>MERGE_REINFORCE</x:v>
      </x:c>
      <x:c r="W57" s="15" t="str"/>
      <x:c r="X57" s="15" t="str">
        <x:v>보강자료 일치: 2025-09-26 공개가 공식 팬덤 글에서 명시됐다. 정량 성과는 미상이나, “가장 기대된 작품”으로 소개됐다.</x:v>
      </x:c>
      <x:c r="Y57" s="15" t="str">
        <x:v>https://www.reelshort.com/fandom/girl-boss-returns-home-with-3-sons-01-7/
https://www.reelshort.com/fandom/was-the-heiress-switched-at-birth-cast-01-2-20d2d25f0c26/</x:v>
      </x:c>
      <x:c r="Z57" s="15" t="str"/>
    </x:row>
    <x:row r="58">
      <x:c r="A58" s="15" t="str">
        <x:v>L0057</x:v>
      </x:c>
      <x:c r="B58" s="15" t="str">
        <x:v>2025-10</x:v>
      </x:c>
      <x:c r="C58" s="15" t="str">
        <x:v>ReelShort</x:v>
      </x:c>
      <x:c r="D58" s="15" t="str">
        <x:v>Base_XLSX</x:v>
      </x:c>
      <x:c r="E58" s="15" t="n">
        <x:v>1</x:v>
      </x:c>
      <x:c r="F58" s="15" t="str">
        <x:v>Base only</x:v>
      </x:c>
      <x:c r="G58" s="15" t="str">
        <x:v>The Beggar King Returns</x:v>
      </x:c>
      <x:c r="H58" s="15" t="str">
        <x:v>The Beggar King Returns</x:v>
      </x:c>
      <x:c r="I58" s="15" t="str">
        <x:v>Live-action; AIGC not flagged</x:v>
      </x:c>
      <x:c r="J58" s="15" t="str">
        <x:v>Not flagged</x:v>
      </x:c>
      <x:c r="K58" s="15" t="str">
        <x:v>Male / Power fantasy</x:v>
      </x:c>
      <x:c r="L58" s="15" t="str">
        <x:v>Return King / Hidden Identity / Action</x:v>
      </x:c>
      <x:c r="M58" s="15" t="str">
        <x:v>Hidden-identity reveal + Revenge/regret payoff + High-status partner/authority</x:v>
      </x:c>
      <x:c r="N58" s="15" t="str">
        <x:v>정체/권력 공개 직전까지 결핍·오해를 누적</x:v>
      </x:c>
      <x:c r="O58" s="15" t="str">
        <x:v>Medium: 광고 컷·후킹 이미지 보강용</x:v>
      </x:c>
      <x:c r="P58" s="15" t="str">
        <x:v>거지 취급받던 왕/최강자가 돌아와 정체를 공개하는 남성향 역전.</x:v>
      </x:c>
      <x:c r="Q58" s="15" t="str">
        <x:v>Fandom에서 2025-10-14 ReelShort premiere 예고.</x:v>
      </x:c>
      <x:c r="R58" s="15" t="str">
        <x:v>Publication 2025-10-09; premiere 2025-10-14.</x:v>
      </x:c>
      <x:c r="S58" s="15" t="str">
        <x:v>A / Strong verified</x:v>
      </x:c>
      <x:c r="T58" s="18" t="n">
        <x:v>88</x:v>
      </x:c>
      <x:c r="U58" s="15" t="str">
        <x:v>A_Core</x:v>
      </x:c>
      <x:c r="V58" s="15" t="str">
        <x:v>KEEP</x:v>
      </x:c>
      <x:c r="W58" s="15" t="str"/>
      <x:c r="X58" s="15" t="str"/>
      <x:c r="Y58" s="15" t="str">
        <x:v>https://www.reelshort.com/fandom/the-beggar-king-returns-cast-01-2-27c70f7305b4/</x:v>
      </x:c>
      <x:c r="Z58" s="15" t="str"/>
    </x:row>
    <x:row r="59">
      <x:c r="A59" s="15" t="str">
        <x:v>L0058</x:v>
      </x:c>
      <x:c r="B59" s="15" t="str">
        <x:v>2025-10</x:v>
      </x:c>
      <x:c r="C59" s="15" t="str">
        <x:v>ReelShort</x:v>
      </x:c>
      <x:c r="D59" s="15" t="str">
        <x:v>Base_XLSX</x:v>
      </x:c>
      <x:c r="E59" s="15" t="n">
        <x:v>2</x:v>
      </x:c>
      <x:c r="F59" s="15" t="str">
        <x:v>Base only</x:v>
      </x:c>
      <x:c r="G59" s="15" t="str">
        <x:v>I Had A Baby Without You</x:v>
      </x:c>
      <x:c r="H59" s="15" t="str">
        <x:v>I Had A Baby Without You</x:v>
      </x:c>
      <x:c r="I59" s="15" t="str">
        <x:v>Live-action; AIGC not flagged</x:v>
      </x:c>
      <x:c r="J59" s="15" t="str">
        <x:v>Not flagged</x:v>
      </x:c>
      <x:c r="K59" s="15" t="str">
        <x:v>Family regret / mixed</x:v>
      </x:c>
      <x:c r="L59" s="15" t="str">
        <x:v>Secret Baby / Second Chance / Family</x:v>
      </x:c>
      <x:c r="M59" s="15" t="str">
        <x:v>Hidden-identity reveal + Child/family reunion</x:v>
      </x:c>
      <x:c r="N59" s="15" t="str">
        <x:v>정체/권력 공개 직전까지 결핍·오해를 누적</x:v>
      </x:c>
      <x:c r="O59" s="15" t="str">
        <x:v>Medium: 아이/가족 감정은 직관화하되 섬세한 연기는 과신 금지</x:v>
      </x:c>
      <x:c r="P59" s="15" t="str">
        <x:v>이별 후 아이를 낳은 여성이 다시 남주/가족 권력과 충돌.</x:v>
      </x:c>
      <x:c r="Q59" s="15" t="str">
        <x:v>배우/작품 Fandom 기사 노출.</x:v>
      </x:c>
      <x:c r="R59" s="15" t="str">
        <x:v>Publication 2025-10-22.</x:v>
      </x:c>
      <x:c r="S59" s="15" t="str">
        <x:v>C / Watch</x:v>
      </x:c>
      <x:c r="T59" s="18" t="n">
        <x:v>56</x:v>
      </x:c>
      <x:c r="U59" s="15" t="str">
        <x:v>C_Watch</x:v>
      </x:c>
      <x:c r="V59" s="15" t="str">
        <x:v>POSSIBLE_REPLACE_BY_SUPPLEMENT</x:v>
      </x:c>
      <x:c r="W59" s="15" t="str">
        <x:v>Taming My Bullies</x:v>
      </x:c>
      <x:c r="X59" s="15" t="str">
        <x:v>동월·동플랫폼 보강자료 후보가 있고, 현행 행의 confidence가 Low라 교체 후보.</x:v>
      </x:c>
      <x:c r="Y59" s="15" t="str">
        <x:v>https://www.reelshort.com/fandom/the-beggar-king-returns-cast-01-2-27c70f7305b4/</x:v>
      </x:c>
      <x:c r="Z59" s="15" t="str">
        <x:v>공식 성과/광고 집행량 재확인.</x:v>
      </x:c>
    </x:row>
    <x:row r="60">
      <x:c r="A60" s="15" t="str">
        <x:v>L0059</x:v>
      </x:c>
      <x:c r="B60" s="15" t="str">
        <x:v>2025-10</x:v>
      </x:c>
      <x:c r="C60" s="15" t="str">
        <x:v>ReelShort</x:v>
      </x:c>
      <x:c r="D60" s="15" t="str">
        <x:v>Base_XLSX</x:v>
      </x:c>
      <x:c r="E60" s="15" t="n">
        <x:v>3</x:v>
      </x:c>
      <x:c r="F60" s="15" t="str">
        <x:v>Base only</x:v>
      </x:c>
      <x:c r="G60" s="15" t="str">
        <x:v>Tell Me Not to Love You</x:v>
      </x:c>
      <x:c r="H60" s="15" t="str">
        <x:v>Tell Me Not to Love You</x:v>
      </x:c>
      <x:c r="I60" s="15" t="str">
        <x:v>Live-action; AIGC not flagged</x:v>
      </x:c>
      <x:c r="J60" s="15" t="str">
        <x:v>Not flagged</x:v>
      </x:c>
      <x:c r="K60" s="15" t="str">
        <x:v>Female / Romance</x:v>
      </x:c>
      <x:c r="L60" s="15" t="str">
        <x:v>YA Romance / Forbidden Love / School/Youth</x:v>
      </x:c>
      <x:c r="M60" s="15" t="str">
        <x:v>Campus/sports heat</x:v>
      </x:c>
      <x:c r="N60" s="15" t="str">
        <x:v>무료부에서는 결핍과 예고, 유료부에서는 보상/진실/역전</x:v>
      </x:c>
      <x:c r="O60" s="15" t="str">
        <x:v>Medium: 광고 컷·후킹 이미지 보강용</x:v>
      </x:c>
      <x:c r="P60" s="15" t="str">
        <x:v>YA 감성의 금지된 사랑/오해를 중심으로 한 신작 로맨스.</x:v>
      </x:c>
      <x:c r="Q60" s="15" t="str">
        <x:v>Fandom에서 2025-11-02 ReelShort exclusive release 예고.</x:v>
      </x:c>
      <x:c r="R60" s="15" t="str">
        <x:v>Publication 2025-10-31; release 2025-11-02.</x:v>
      </x:c>
      <x:c r="S60" s="15" t="str">
        <x:v>B / Useful verified</x:v>
      </x:c>
      <x:c r="T60" s="18" t="n">
        <x:v>73</x:v>
      </x:c>
      <x:c r="U60" s="15" t="str">
        <x:v>B_Strong</x:v>
      </x:c>
      <x:c r="V60" s="15" t="str">
        <x:v>KEEP</x:v>
      </x:c>
      <x:c r="W60" s="15" t="str"/>
      <x:c r="X60" s="15" t="str"/>
      <x:c r="Y60" s="15" t="str">
        <x:v>https://www.reelshort.com/fandom/tell-me-not-to-love-you-cast-01-2-025edc1d0e10/</x:v>
      </x:c>
      <x:c r="Z60" s="15" t="str"/>
    </x:row>
    <x:row r="61">
      <x:c r="A61" s="15" t="str">
        <x:v>L0060</x:v>
      </x:c>
      <x:c r="B61" s="15" t="str">
        <x:v>2025-11</x:v>
      </x:c>
      <x:c r="C61" s="15" t="str">
        <x:v>ReelShort</x:v>
      </x:c>
      <x:c r="D61" s="15" t="str">
        <x:v>Base_XLSX</x:v>
      </x:c>
      <x:c r="E61" s="15" t="n">
        <x:v>1</x:v>
      </x:c>
      <x:c r="F61" s="15" t="str">
        <x:v>Base only</x:v>
      </x:c>
      <x:c r="G61" s="15" t="str">
        <x:v>Tell Me Not to Love You</x:v>
      </x:c>
      <x:c r="H61" s="15" t="str">
        <x:v>Tell Me Not to Love You</x:v>
      </x:c>
      <x:c r="I61" s="15" t="str">
        <x:v>Live-action; AIGC not flagged</x:v>
      </x:c>
      <x:c r="J61" s="15" t="str">
        <x:v>Not flagged</x:v>
      </x:c>
      <x:c r="K61" s="15" t="str">
        <x:v>Female / Romance</x:v>
      </x:c>
      <x:c r="L61" s="15" t="str">
        <x:v>YA Romance / Forbidden Love</x:v>
      </x:c>
      <x:c r="M61" s="15" t="str">
        <x:v>Core melodrama hook</x:v>
      </x:c>
      <x:c r="N61" s="15" t="str">
        <x:v>무료부에서는 결핍과 예고, 유료부에서는 보상/진실/역전</x:v>
      </x:c>
      <x:c r="O61" s="15" t="str">
        <x:v>Medium: 광고 컷·후킹 이미지 보강용</x:v>
      </x:c>
      <x:c r="P61" s="15" t="str">
        <x:v>서로 사랑하지 말아야 하는 관계를 이용한 YA 로맨스.</x:v>
      </x:c>
      <x:c r="Q61" s="15" t="str">
        <x:v>Release month title; Fandom countdown/actor articles 다수.</x:v>
      </x:c>
      <x:c r="R61" s="15" t="str">
        <x:v>Release 2025-11-02.</x:v>
      </x:c>
      <x:c r="S61" s="15" t="str">
        <x:v>B / Useful verified</x:v>
      </x:c>
      <x:c r="T61" s="18" t="n">
        <x:v>73</x:v>
      </x:c>
      <x:c r="U61" s="15" t="str">
        <x:v>B_Strong</x:v>
      </x:c>
      <x:c r="V61" s="15" t="str">
        <x:v>KEEP</x:v>
      </x:c>
      <x:c r="W61" s="15" t="str"/>
      <x:c r="X61" s="15" t="str"/>
      <x:c r="Y61" s="15" t="str">
        <x:v>https://www.reelshort.com/fandom/tell-me-not-to-love-you-cast-01-2-025edc1d0e10/</x:v>
      </x:c>
      <x:c r="Z61" s="15" t="str"/>
    </x:row>
    <x:row r="62">
      <x:c r="A62" s="15" t="str">
        <x:v>L0061</x:v>
      </x:c>
      <x:c r="B62" s="15" t="str">
        <x:v>2025-11</x:v>
      </x:c>
      <x:c r="C62" s="15" t="str">
        <x:v>ReelShort</x:v>
      </x:c>
      <x:c r="D62" s="15" t="str">
        <x:v>Base_XLSX</x:v>
      </x:c>
      <x:c r="E62" s="15" t="n">
        <x:v>2</x:v>
      </x:c>
      <x:c r="F62" s="15" t="str">
        <x:v>Base only</x:v>
      </x:c>
      <x:c r="G62" s="15" t="str">
        <x:v>Operation Christmas Trap</x:v>
      </x:c>
      <x:c r="H62" s="15" t="str">
        <x:v>Operation Christmas Trap</x:v>
      </x:c>
      <x:c r="I62" s="15" t="str">
        <x:v>Live-action; AIGC not flagged</x:v>
      </x:c>
      <x:c r="J62" s="15" t="str">
        <x:v>Not flagged</x:v>
      </x:c>
      <x:c r="K62" s="15" t="str">
        <x:v>Female / Family-romance</x:v>
      </x:c>
      <x:c r="L62" s="15" t="str">
        <x:v>Christmas / Family / Romance Trap</x:v>
      </x:c>
      <x:c r="M62" s="15" t="str">
        <x:v>Child/family reunion</x:v>
      </x:c>
      <x:c r="N62" s="15" t="str">
        <x:v>무료부에서는 결핍과 예고, 유료부에서는 보상/진실/역전</x:v>
      </x:c>
      <x:c r="O62" s="15" t="str">
        <x:v>Medium: 아이/가족 감정은 직관화하되 섬세한 연기는 과신 금지</x:v>
      </x:c>
      <x:c r="P62" s="15" t="str">
        <x:v>홀리데이 시즌 가족/로맨스 함정을 이용한 크리스마스형 숏드라마.</x:v>
      </x:c>
      <x:c r="Q62" s="15" t="str">
        <x:v>ReelShort holiday top list에 언급.</x:v>
      </x:c>
      <x:c r="R62" s="15" t="str">
        <x:v>Publication 2025-11-25; coming 2025-11-30.</x:v>
      </x:c>
      <x:c r="S62" s="15" t="str">
        <x:v>C / Watch</x:v>
      </x:c>
      <x:c r="T62" s="18" t="n">
        <x:v>56</x:v>
      </x:c>
      <x:c r="U62" s="15" t="str">
        <x:v>C_Watch</x:v>
      </x:c>
      <x:c r="V62" s="15" t="str">
        <x:v>POSSIBLE_REPLACE_BY_SUPPLEMENT</x:v>
      </x:c>
      <x:c r="W62" s="15" t="str">
        <x:v>Step Aside, I’m the King of Capital</x:v>
      </x:c>
      <x:c r="X62" s="15" t="str">
        <x:v>동월·동플랫폼 보강자료 후보가 있고, 현행 행의 confidence가 Low라 교체 후보.</x:v>
      </x:c>
      <x:c r="Y62" s="15" t="str">
        <x:v>https://www.reelshort.com/fandom/?p=36047</x:v>
      </x:c>
      <x:c r="Z62" s="15" t="str">
        <x:v>공식 성과/광고 집행량 재확인.</x:v>
      </x:c>
    </x:row>
    <x:row r="63">
      <x:c r="A63" s="15" t="str">
        <x:v>L0062</x:v>
      </x:c>
      <x:c r="B63" s="15" t="str">
        <x:v>2025-11</x:v>
      </x:c>
      <x:c r="C63" s="15" t="str">
        <x:v>ReelShort</x:v>
      </x:c>
      <x:c r="D63" s="15" t="str">
        <x:v>Base_XLSX</x:v>
      </x:c>
      <x:c r="E63" s="15" t="n">
        <x:v>3</x:v>
      </x:c>
      <x:c r="F63" s="15" t="str">
        <x:v>Base only</x:v>
      </x:c>
      <x:c r="G63" s="15" t="str">
        <x:v>Never Divorce a Secret Billionaire Heiress</x:v>
      </x:c>
      <x:c r="H63" s="15" t="str">
        <x:v>Never Divorce a Secret Billionaire Heiress</x:v>
      </x:c>
      <x:c r="I63" s="15" t="str">
        <x:v>Live-action; AIGC not flagged</x:v>
      </x:c>
      <x:c r="J63" s="15" t="str">
        <x:v>Not flagged</x:v>
      </x:c>
      <x:c r="K63" s="15" t="str">
        <x:v>Female / Romance</x:v>
      </x:c>
      <x:c r="L63" s="15" t="str">
        <x:v>Secret Billionaire Heiress / Divorce Regret</x:v>
      </x:c>
      <x:c r="M63" s="15" t="str">
        <x:v>Hidden-identity reveal + Revenge/regret payoff + High-status partner/authority</x:v>
      </x:c>
      <x:c r="N63" s="15" t="str">
        <x:v>정체/권력 공개 직전까지 결핍·오해를 누적</x:v>
      </x:c>
      <x:c r="O63" s="15" t="str">
        <x:v>Medium-High: 압도적 외모·의상·공간 미감으로 실사형 보상 강화</x:v>
      </x:c>
      <x:c r="P63" s="15" t="str">
        <x:v>아내가 비밀 억만장자 상속녀였다는 이혼 후회/신분반전 히트작.</x:v>
      </x:c>
      <x:c r="Q63" s="15" t="str">
        <x:v>Reddit/ReelShort discussion lists에서 반복 언급되는 legacy hit.</x:v>
      </x:c>
      <x:c r="R63" s="15" t="str">
        <x:v>Community search + official app ecosystem signal.</x:v>
      </x:c>
      <x:c r="S63" s="15" t="str">
        <x:v>B / Useful verified</x:v>
      </x:c>
      <x:c r="T63" s="18" t="n">
        <x:v>75</x:v>
      </x:c>
      <x:c r="U63" s="15" t="str">
        <x:v>B_Strong</x:v>
      </x:c>
      <x:c r="V63" s="15" t="str">
        <x:v>KEEP</x:v>
      </x:c>
      <x:c r="W63" s="15" t="str"/>
      <x:c r="X63" s="15" t="str"/>
      <x:c r="Y63" s="15" t="str">
        <x:v>https://apps.apple.com/us/app/reelshort-stream-dramas-tv/id1632840184</x:v>
      </x:c>
      <x:c r="Z63" s="15" t="str"/>
    </x:row>
    <x:row r="64">
      <x:c r="A64" s="15" t="str">
        <x:v>L0063</x:v>
      </x:c>
      <x:c r="B64" s="15" t="str">
        <x:v>2025-12</x:v>
      </x:c>
      <x:c r="C64" s="15" t="str">
        <x:v>ReelShort</x:v>
      </x:c>
      <x:c r="D64" s="15" t="str">
        <x:v>Base_XLSX</x:v>
      </x:c>
      <x:c r="E64" s="15" t="n">
        <x:v>1</x:v>
      </x:c>
      <x:c r="F64" s="15" t="str">
        <x:v>Base only</x:v>
      </x:c>
      <x:c r="G64" s="15" t="str">
        <x:v>Rented a Billionaire Husband for Christmas</x:v>
      </x:c>
      <x:c r="H64" s="15" t="str">
        <x:v>Rented a Billionaire Husband for Christmas</x:v>
      </x:c>
      <x:c r="I64" s="15" t="str">
        <x:v>Live-action; AIGC not flagged</x:v>
      </x:c>
      <x:c r="J64" s="15" t="str">
        <x:v>Not flagged</x:v>
      </x:c>
      <x:c r="K64" s="15" t="str">
        <x:v>Female / Romance</x:v>
      </x:c>
      <x:c r="L64" s="15" t="str">
        <x:v>Holiday Romance / Fake Husband / Billionaire</x:v>
      </x:c>
      <x:c r="M64" s="15" t="str">
        <x:v>High-status partner/authority</x:v>
      </x:c>
      <x:c r="N64" s="15" t="str">
        <x:v>강한 케미·보호/소유 신호를 주되 감정 확정은 지연</x:v>
      </x:c>
      <x:c r="O64" s="15" t="str">
        <x:v>Medium-High: 압도적 외모·의상·공간 미감으로 실사형 보상 강화</x:v>
      </x:c>
      <x:c r="P64" s="15" t="str">
        <x:v>크리스마스 시즌에 억만장자 남편을 빌리는 fake marriage/holiday romance.</x:v>
      </x:c>
      <x:c r="Q64" s="15" t="str">
        <x:v>Fandom holiday article 존재.</x:v>
      </x:c>
      <x:c r="R64" s="15" t="str">
        <x:v>Publication 2025-12-25.</x:v>
      </x:c>
      <x:c r="S64" s="15" t="str">
        <x:v>B / Useful verified</x:v>
      </x:c>
      <x:c r="T64" s="18" t="n">
        <x:v>73</x:v>
      </x:c>
      <x:c r="U64" s="15" t="str">
        <x:v>B_Strong</x:v>
      </x:c>
      <x:c r="V64" s="15" t="str">
        <x:v>KEEP</x:v>
      </x:c>
      <x:c r="W64" s="15" t="str"/>
      <x:c r="X64" s="15" t="str"/>
      <x:c r="Y64" s="15" t="str">
        <x:v>https://www.reelshort.com/fandom/?p=36047</x:v>
      </x:c>
      <x:c r="Z64" s="15" t="str"/>
    </x:row>
    <x:row r="65">
      <x:c r="A65" s="15" t="str">
        <x:v>L0064</x:v>
      </x:c>
      <x:c r="B65" s="15" t="str">
        <x:v>2025-12</x:v>
      </x:c>
      <x:c r="C65" s="15" t="str">
        <x:v>ReelShort</x:v>
      </x:c>
      <x:c r="D65" s="15" t="str">
        <x:v>Base_XLSX</x:v>
      </x:c>
      <x:c r="E65" s="15" t="n">
        <x:v>2</x:v>
      </x:c>
      <x:c r="F65" s="15" t="str">
        <x:v>Base only</x:v>
      </x:c>
      <x:c r="G65" s="15" t="str">
        <x:v>King of Guns</x:v>
      </x:c>
      <x:c r="H65" s="15" t="str">
        <x:v>King of Guns</x:v>
      </x:c>
      <x:c r="I65" s="15" t="str">
        <x:v>Live-action; AIGC not flagged</x:v>
      </x:c>
      <x:c r="J65" s="15" t="str">
        <x:v>Not flagged</x:v>
      </x:c>
      <x:c r="K65" s="15" t="str">
        <x:v>Mixed / General</x:v>
      </x:c>
      <x:c r="L65" s="15" t="str">
        <x:v>Action / Gun King / Male Target</x:v>
      </x:c>
      <x:c r="M65" s="15" t="str">
        <x:v>Hidden-identity reveal + High-status partner/authority</x:v>
      </x:c>
      <x:c r="N65" s="15" t="str">
        <x:v>무료부에서는 결핍과 예고, 유료부에서는 보상/진실/역전</x:v>
      </x:c>
      <x:c r="O65" s="15" t="str">
        <x:v>Medium: 광고 컷·후킹 이미지 보강용</x:v>
      </x:c>
      <x:c r="P65" s="15" t="str">
        <x:v>총격/액션 중심의 남성향 action-packed ReelShort 타이틀.</x:v>
      </x:c>
      <x:c r="Q65" s="15" t="str">
        <x:v>Fandom에서 official YouTube free episodes 언급.</x:v>
      </x:c>
      <x:c r="R65" s="15" t="str">
        <x:v>Publication 2025-12-29.</x:v>
      </x:c>
      <x:c r="S65" s="15" t="str">
        <x:v>B / Useful verified</x:v>
      </x:c>
      <x:c r="T65" s="18" t="n">
        <x:v>73</x:v>
      </x:c>
      <x:c r="U65" s="15" t="str">
        <x:v>B_Strong</x:v>
      </x:c>
      <x:c r="V65" s="15" t="str">
        <x:v>KEEP</x:v>
      </x:c>
      <x:c r="W65" s="15" t="str"/>
      <x:c r="X65" s="15" t="str"/>
      <x:c r="Y65" s="15" t="str">
        <x:v>https://www.reelshort.com/fandom/?p=36214</x:v>
      </x:c>
      <x:c r="Z65" s="15" t="str"/>
    </x:row>
    <x:row r="66">
      <x:c r="A66" s="15" t="str">
        <x:v>L0065</x:v>
      </x:c>
      <x:c r="B66" s="15" t="str">
        <x:v>2025-12</x:v>
      </x:c>
      <x:c r="C66" s="15" t="str">
        <x:v>ReelShort</x:v>
      </x:c>
      <x:c r="D66" s="15" t="str">
        <x:v>Base_XLSX</x:v>
      </x:c>
      <x:c r="E66" s="15" t="n">
        <x:v>3</x:v>
      </x:c>
      <x:c r="F66" s="15" t="str">
        <x:v>Base only</x:v>
      </x:c>
      <x:c r="G66" s="15" t="str">
        <x:v>The Prince's First Love</x:v>
      </x:c>
      <x:c r="H66" s="15" t="str">
        <x:v>The Prince's First Love</x:v>
      </x:c>
      <x:c r="I66" s="15" t="str">
        <x:v>Live-action; AIGC not flagged</x:v>
      </x:c>
      <x:c r="J66" s="15" t="str">
        <x:v>Not flagged</x:v>
      </x:c>
      <x:c r="K66" s="15" t="str">
        <x:v>BL/Queer</x:v>
      </x:c>
      <x:c r="L66" s="15" t="str">
        <x:v>BL / Prince / First Love</x:v>
      </x:c>
      <x:c r="M66" s="15" t="str">
        <x:v>Core melodrama hook</x:v>
      </x:c>
      <x:c r="N66" s="15" t="str">
        <x:v>무료부에서는 결핍과 예고, 유료부에서는 보상/진실/역전</x:v>
      </x:c>
      <x:c r="O66" s="15" t="str">
        <x:v>Medium: 광고 컷·후킹 이미지 보강용</x:v>
      </x:c>
      <x:c r="P66" s="15" t="str">
        <x:v>BL/프린스 첫사랑을 전면화한 2025 viral BL romance 후보.</x:v>
      </x:c>
      <x:c r="Q66" s="15" t="str">
        <x:v>Fandom에서 Viral BL Romance of 2025로 소개.</x:v>
      </x:c>
      <x:c r="R66" s="15" t="str">
        <x:v>Publication 2025-12-19.</x:v>
      </x:c>
      <x:c r="S66" s="15" t="str">
        <x:v>C / Watch</x:v>
      </x:c>
      <x:c r="T66" s="18" t="n">
        <x:v>56</x:v>
      </x:c>
      <x:c r="U66" s="15" t="str">
        <x:v>C_Watch</x:v>
      </x:c>
      <x:c r="V66" s="15" t="str">
        <x:v>POSSIBLE_REPLACE_BY_SUPPLEMENT</x:v>
      </x:c>
      <x:c r="W66" s="15" t="str">
        <x:v>Operation Christmas Trap</x:v>
      </x:c>
      <x:c r="X66" s="15" t="str">
        <x:v>동월·동플랫폼 보강자료 후보가 있고, 현행 행의 confidence가 Low라 교체 후보.</x:v>
      </x:c>
      <x:c r="Y66" s="15" t="str">
        <x:v>https://www.reelshort.com/fandom/tell-me-not-to-love-you-cast-01-2-025edc1d0e10/</x:v>
      </x:c>
      <x:c r="Z66" s="15" t="str">
        <x:v>공식 성과/광고 집행량 재확인.</x:v>
      </x:c>
    </x:row>
    <x:row r="67">
      <x:c r="A67" s="15" t="str">
        <x:v>L0066</x:v>
      </x:c>
      <x:c r="B67" s="15" t="str">
        <x:v>2026-01</x:v>
      </x:c>
      <x:c r="C67" s="15" t="str">
        <x:v>ReelShort</x:v>
      </x:c>
      <x:c r="D67" s="15" t="str">
        <x:v>Base_XLSX</x:v>
      </x:c>
      <x:c r="E67" s="15" t="n">
        <x:v>1</x:v>
      </x:c>
      <x:c r="F67" s="15" t="str">
        <x:v>Base only</x:v>
      </x:c>
      <x:c r="G67" s="15" t="str">
        <x:v>The Last Time I Forgive (English-dubbed)</x:v>
      </x:c>
      <x:c r="H67" s="15" t="str">
        <x:v>The Last Time I Forgive (English-dubbed)</x:v>
      </x:c>
      <x:c r="I67" s="15" t="str">
        <x:v>Live-action/dubbed; AIGC not flagged</x:v>
      </x:c>
      <x:c r="J67" s="15" t="str">
        <x:v>Not flagged</x:v>
      </x:c>
      <x:c r="K67" s="15" t="str">
        <x:v>Female / Romance</x:v>
      </x:c>
      <x:c r="L67" s="15" t="str">
        <x:v>Cheating / Engagement Breakup / Flash Marriage / Revenge</x:v>
      </x:c>
      <x:c r="M67" s="15" t="str">
        <x:v>Revenge/regret payoff</x:v>
      </x:c>
      <x:c r="N67" s="15" t="str">
        <x:v>굴욕/배신 후 첫 반격을 예고하고 본격 응징은 지연</x:v>
      </x:c>
      <x:c r="O67" s="15" t="str">
        <x:v>Medium: 광고 컷·후킹 이미지 보강용</x:v>
      </x:c>
      <x:c r="P67" s="15" t="str">
        <x:v>바람·약혼 파기·번갯불 결혼으로 아내가 남편과 정부에게 복수하는 구조.</x:v>
      </x:c>
      <x:c r="Q67" s="15" t="str">
        <x:v>공식 페이지 기준 1.3M views, 60 episodes.</x:v>
      </x:c>
      <x:c r="R67" s="15" t="str">
        <x:v>Official views 1.3M.</x:v>
      </x:c>
      <x:c r="S67" s="15" t="str">
        <x:v>A / Strong verified</x:v>
      </x:c>
      <x:c r="T67" s="18" t="n">
        <x:v>100</x:v>
      </x:c>
      <x:c r="U67" s="15" t="str">
        <x:v>A_Core</x:v>
      </x:c>
      <x:c r="V67" s="15" t="str">
        <x:v>KEEP</x:v>
      </x:c>
      <x:c r="W67" s="15" t="str"/>
      <x:c r="X67" s="15" t="str"/>
      <x:c r="Y67" s="15" t="str">
        <x:v>https://www.reelshort.com/full-episodes/the-last-time-i-forgive-english-dubbed-68882a57f3d2887c470ad72e</x:v>
      </x:c>
      <x:c r="Z67" s="15" t="str"/>
    </x:row>
    <x:row r="68">
      <x:c r="A68" s="15" t="str">
        <x:v>L0067</x:v>
      </x:c>
      <x:c r="B68" s="15" t="str">
        <x:v>2026-01</x:v>
      </x:c>
      <x:c r="C68" s="15" t="str">
        <x:v>ReelShort</x:v>
      </x:c>
      <x:c r="D68" s="15" t="str">
        <x:v>Base_XLSX</x:v>
      </x:c>
      <x:c r="E68" s="15" t="n">
        <x:v>2</x:v>
      </x:c>
      <x:c r="F68" s="15" t="str">
        <x:v>Base only</x:v>
      </x:c>
      <x:c r="G68" s="15" t="str">
        <x:v>Fated Mate of the Nine-Tailed Fox</x:v>
      </x:c>
      <x:c r="H68" s="15" t="str">
        <x:v>Fated Mate of the Nine-Tailed Fox</x:v>
      </x:c>
      <x:c r="I68" s="15" t="str">
        <x:v>Live-action/dubbed; AIGC not flagged</x:v>
      </x:c>
      <x:c r="J68" s="15" t="str">
        <x:v>Not flagged</x:v>
      </x:c>
      <x:c r="K68" s="15" t="str">
        <x:v>Female / Family-romance</x:v>
      </x:c>
      <x:c r="L68" s="15" t="str">
        <x:v>Nine-Tailed Fox / Fated Lovers / Lost Child / Secret</x:v>
      </x:c>
      <x:c r="M68" s="15" t="str">
        <x:v>Hidden-identity reveal + Child/family reunion</x:v>
      </x:c>
      <x:c r="N68" s="15" t="str">
        <x:v>정체/권력 공개 직전까지 결핍·오해를 누적</x:v>
      </x:c>
      <x:c r="O68" s="15" t="str">
        <x:v>Medium: 아이/가족 감정은 직관화하되 섬세한 연기는 과신 금지</x:v>
      </x:c>
      <x:c r="P68" s="15" t="str">
        <x:v>구미호 후계자가 납치/가문 갈등 속에서 운명의 짝을 만나는 판타지 로맨스.</x:v>
      </x:c>
      <x:c r="Q68" s="15" t="str">
        <x:v>공식 페이지 기준 2M views, 68 episodes.</x:v>
      </x:c>
      <x:c r="R68" s="15" t="str">
        <x:v>Official views 2M.</x:v>
      </x:c>
      <x:c r="S68" s="15" t="str">
        <x:v>A / Strong verified</x:v>
      </x:c>
      <x:c r="T68" s="18" t="n">
        <x:v>100</x:v>
      </x:c>
      <x:c r="U68" s="15" t="str">
        <x:v>A_Core</x:v>
      </x:c>
      <x:c r="V68" s="15" t="str">
        <x:v>KEEP</x:v>
      </x:c>
      <x:c r="W68" s="15" t="str"/>
      <x:c r="X68" s="15" t="str"/>
      <x:c r="Y68" s="15" t="str">
        <x:v>https://www.reelshort.com/full-episodes/fated-mate-of-the-nine-tailed-fox-68985bdb63e82b40540dc035</x:v>
      </x:c>
      <x:c r="Z68" s="15" t="str"/>
    </x:row>
    <x:row r="69">
      <x:c r="A69" s="15" t="str">
        <x:v>L0068</x:v>
      </x:c>
      <x:c r="B69" s="15" t="str">
        <x:v>2026-01</x:v>
      </x:c>
      <x:c r="C69" s="15" t="str">
        <x:v>ReelShort</x:v>
      </x:c>
      <x:c r="D69" s="15" t="str">
        <x:v>Base_XLSX</x:v>
      </x:c>
      <x:c r="E69" s="15" t="n">
        <x:v>3</x:v>
      </x:c>
      <x:c r="F69" s="15" t="str">
        <x:v>Base only</x:v>
      </x:c>
      <x:c r="G69" s="15" t="str">
        <x:v>I’m Done Being Your Simp</x:v>
      </x:c>
      <x:c r="H69" s="15" t="str">
        <x:v>I’m Done Being Your Simp</x:v>
      </x:c>
      <x:c r="I69" s="15" t="str">
        <x:v>Live-action/dubbed; AIGC not flagged</x:v>
      </x:c>
      <x:c r="J69" s="15" t="str">
        <x:v>Not flagged</x:v>
      </x:c>
      <x:c r="K69" s="15" t="str">
        <x:v>Female / Romance</x:v>
      </x:c>
      <x:c r="L69" s="15" t="str">
        <x:v>Rebirth / Revenge / Modern</x:v>
      </x:c>
      <x:c r="M69" s="15" t="str">
        <x:v>Revenge/regret payoff + High-status partner/authority</x:v>
      </x:c>
      <x:c r="N69" s="15" t="str">
        <x:v>굴욕/배신 후 첫 반격을 예고하고 본격 응징은 지연</x:v>
      </x:c>
      <x:c r="O69" s="15" t="str">
        <x:v>Medium-High: 압도적 외모·의상·공간 미감으로 실사형 보상 강화</x:v>
      </x:c>
      <x:c r="P69" s="15" t="str">
        <x:v>아내와 내연남에게 살해된 남자가 회귀해 여성 CEO와 손잡고 복수.</x:v>
      </x:c>
      <x:c r="Q69" s="15" t="str">
        <x:v>공식 페이지 기준 438.7K views, 41 episodes.</x:v>
      </x:c>
      <x:c r="R69" s="15" t="str">
        <x:v>Official views 438.7K.</x:v>
      </x:c>
      <x:c r="S69" s="15" t="str">
        <x:v>A / Strong verified</x:v>
      </x:c>
      <x:c r="T69" s="18" t="n">
        <x:v>100</x:v>
      </x:c>
      <x:c r="U69" s="15" t="str">
        <x:v>A_Core</x:v>
      </x:c>
      <x:c r="V69" s="15" t="str">
        <x:v>KEEP</x:v>
      </x:c>
      <x:c r="W69" s="15" t="str"/>
      <x:c r="X69" s="15" t="str"/>
      <x:c r="Y69" s="15" t="str">
        <x:v>https://www.reelshort.com/full-episodes/im-done-being-your-simp-6877458a02bb7f7d3f0b9f47</x:v>
      </x:c>
      <x:c r="Z69" s="15" t="str"/>
    </x:row>
    <x:row r="70">
      <x:c r="A70" s="15" t="str">
        <x:v>L0069</x:v>
      </x:c>
      <x:c r="B70" s="15" t="str">
        <x:v>2026-02</x:v>
      </x:c>
      <x:c r="C70" s="15" t="str">
        <x:v>ReelShort</x:v>
      </x:c>
      <x:c r="D70" s="15" t="str">
        <x:v>Base_XLSX</x:v>
      </x:c>
      <x:c r="E70" s="15" t="n">
        <x:v>1</x:v>
      </x:c>
      <x:c r="F70" s="15" t="str">
        <x:v>Base only</x:v>
      </x:c>
      <x:c r="G70" s="15" t="str">
        <x:v>CEO's Baby Daddy Is the Merchant of Death</x:v>
      </x:c>
      <x:c r="H70" s="15" t="str">
        <x:v>CEO's Baby Daddy Is the Merchant of Death</x:v>
      </x:c>
      <x:c r="I70" s="15" t="str">
        <x:v>Live-action; AIGC not flagged</x:v>
      </x:c>
      <x:c r="J70" s="15" t="str">
        <x:v>Not flagged</x:v>
      </x:c>
      <x:c r="K70" s="15" t="str">
        <x:v>Female / Family-romance</x:v>
      </x:c>
      <x:c r="L70" s="15" t="str">
        <x:v>Action Dad / Arms Dealer / Secret Baby / CEO</x:v>
      </x:c>
      <x:c r="M70" s="15" t="str">
        <x:v>Hidden-identity reveal + High-status partner/authority + Child/family reunion</x:v>
      </x:c>
      <x:c r="N70" s="15" t="str">
        <x:v>정체/권력 공개 직전까지 결핍·오해를 누적</x:v>
      </x:c>
      <x:c r="O70" s="15" t="str">
        <x:v>Medium-High: 압도적 외모·의상·공간 미감으로 실사형 보상 강화</x:v>
      </x:c>
      <x:c r="P70" s="15" t="str">
        <x:v>국제 무기상/죽음의 상인이 전업 아빠·로맨스 남주로 전환되는 action-family 로맨스.</x:v>
      </x:c>
      <x:c r="Q70" s="15" t="str">
        <x:v>Fandom에서 exclusive vertical movie로 소개.</x:v>
      </x:c>
      <x:c r="R70" s="15" t="str">
        <x:v>Publication 2026-02-06.</x:v>
      </x:c>
      <x:c r="S70" s="15" t="str">
        <x:v>B / Useful verified</x:v>
      </x:c>
      <x:c r="T70" s="18" t="n">
        <x:v>73</x:v>
      </x:c>
      <x:c r="U70" s="15" t="str">
        <x:v>B_Strong</x:v>
      </x:c>
      <x:c r="V70" s="15" t="str">
        <x:v>KEEP</x:v>
      </x:c>
      <x:c r="W70" s="15" t="str"/>
      <x:c r="X70" s="15" t="str"/>
      <x:c r="Y70" s="15" t="str">
        <x:v>https://www.reelshort.com/fandom/from-international-arms-dealer-to-full-time-dad-cast-01-2-87e4a9c3288b/</x:v>
      </x:c>
      <x:c r="Z70" s="15" t="str"/>
    </x:row>
    <x:row r="71">
      <x:c r="A71" s="15" t="str">
        <x:v>L0070</x:v>
      </x:c>
      <x:c r="B71" s="15" t="str">
        <x:v>2026-02</x:v>
      </x:c>
      <x:c r="C71" s="15" t="str">
        <x:v>ReelShort</x:v>
      </x:c>
      <x:c r="D71" s="15" t="str">
        <x:v>Base_XLSX</x:v>
      </x:c>
      <x:c r="E71" s="15" t="n">
        <x:v>2</x:v>
      </x:c>
      <x:c r="F71" s="15" t="str">
        <x:v>Base only</x:v>
      </x:c>
      <x:c r="G71" s="15" t="str">
        <x:v>The Alpha King and His Virgin Bride</x:v>
      </x:c>
      <x:c r="H71" s="15" t="str">
        <x:v>The Alpha King and His Virgin Bride</x:v>
      </x:c>
      <x:c r="I71" s="15" t="str">
        <x:v>Live-action; AIGC not flagged</x:v>
      </x:c>
      <x:c r="J71" s="15" t="str">
        <x:v>Not flagged</x:v>
      </x:c>
      <x:c r="K71" s="15" t="str">
        <x:v>Female / Romance</x:v>
      </x:c>
      <x:c r="L71" s="15" t="str">
        <x:v>Werewolf / Alpha King / Virgin Bride</x:v>
      </x:c>
      <x:c r="M71" s="15" t="str">
        <x:v>Hidden-identity reveal + High-status partner/authority</x:v>
      </x:c>
      <x:c r="N71" s="15" t="str">
        <x:v>강한 케미·보호/소유 신호를 주되 감정 확정은 지연</x:v>
      </x:c>
      <x:c r="O71" s="15" t="str">
        <x:v>Medium-High: 압도적 외모·의상·공간 미감으로 실사형 보상 강화</x:v>
      </x:c>
      <x:c r="P71" s="15" t="str">
        <x:v>알파 왕과 순결한 신부의 possessive werewolf 로맨스.</x:v>
      </x:c>
      <x:c r="Q71" s="15" t="str">
        <x:v>ReelShort werewolf 추천글에서 viral werewolf movie로 언급.</x:v>
      </x:c>
      <x:c r="R71" s="15" t="str">
        <x:v>ReelShort top werewolf list signal.</x:v>
      </x:c>
      <x:c r="S71" s="15" t="str">
        <x:v>B / Useful verified</x:v>
      </x:c>
      <x:c r="T71" s="18" t="n">
        <x:v>81</x:v>
      </x:c>
      <x:c r="U71" s="15" t="str">
        <x:v>B_Strong</x:v>
      </x:c>
      <x:c r="V71" s="15" t="str">
        <x:v>KEEP</x:v>
      </x:c>
      <x:c r="W71" s="15" t="str"/>
      <x:c r="X71" s="15" t="str"/>
      <x:c r="Y71" s="15" t="str">
        <x:v>https://www.reelshort.com/fandom/best-werewolf-movies-01-20/</x:v>
      </x:c>
      <x:c r="Z71" s="15" t="str"/>
    </x:row>
    <x:row r="72">
      <x:c r="A72" s="15" t="str">
        <x:v>L0071</x:v>
      </x:c>
      <x:c r="B72" s="15" t="str">
        <x:v>2026-02</x:v>
      </x:c>
      <x:c r="C72" s="15" t="str">
        <x:v>ReelShort</x:v>
      </x:c>
      <x:c r="D72" s="15" t="str">
        <x:v>Base_XLSX</x:v>
      </x:c>
      <x:c r="E72" s="15" t="n">
        <x:v>3</x:v>
      </x:c>
      <x:c r="F72" s="15" t="str">
        <x:v>Base only</x:v>
      </x:c>
      <x:c r="G72" s="15" t="str">
        <x:v>Move Aside! I’m the Final Boss</x:v>
      </x:c>
      <x:c r="H72" s="15" t="str">
        <x:v>Move Aside! I’m the Final Boss</x:v>
      </x:c>
      <x:c r="I72" s="15" t="str">
        <x:v>Live-action; AIGC not flagged</x:v>
      </x:c>
      <x:c r="J72" s="15" t="str">
        <x:v>Not flagged</x:v>
      </x:c>
      <x:c r="K72" s="15" t="str">
        <x:v>Male / Power fantasy</x:v>
      </x:c>
      <x:c r="L72" s="15" t="str">
        <x:v>Hidden King / Final Boss / Male Power Fantasy</x:v>
      </x:c>
      <x:c r="M72" s="15" t="str">
        <x:v>Hidden-identity reveal + High-status partner/authority + Progression/spectacle</x:v>
      </x:c>
      <x:c r="N72" s="15" t="str">
        <x:v>정체/권력 공개 직전까지 결핍·오해를 누적</x:v>
      </x:c>
      <x:c r="O72" s="15" t="str">
        <x:v>High: VFX·세계관·시스템 UI·비현실 스케일을 직접 보상화</x:v>
      </x:c>
      <x:c r="P72" s="15" t="str">
        <x:v>숨겨진 최종 보스/세계 최고 부자 남주의 정체 공개형 남성향 판타지.</x:v>
      </x:c>
      <x:c r="Q72" s="15" t="str">
        <x:v>App Store featured show; actor page에서도 대표작 언급.</x:v>
      </x:c>
      <x:c r="R72" s="15" t="str">
        <x:v>Featured by ReelShort App Store.</x:v>
      </x:c>
      <x:c r="S72" s="15" t="str">
        <x:v>B / Useful verified</x:v>
      </x:c>
      <x:c r="T72" s="18" t="n">
        <x:v>73</x:v>
      </x:c>
      <x:c r="U72" s="15" t="str">
        <x:v>B_Strong</x:v>
      </x:c>
      <x:c r="V72" s="15" t="str">
        <x:v>KEEP</x:v>
      </x:c>
      <x:c r="W72" s="15" t="str"/>
      <x:c r="X72" s="15" t="str"/>
      <x:c r="Y72" s="15" t="str">
        <x:v>https://apps.apple.com/us/app/reelshort-stream-dramas-tv/id1632840184 | https://www.reelshort.com/movie-genres/all-movies</x:v>
      </x:c>
      <x:c r="Z72" s="15" t="str"/>
    </x:row>
    <x:row r="73">
      <x:c r="A73" s="15" t="str">
        <x:v>L0072</x:v>
      </x:c>
      <x:c r="B73" s="15" t="str">
        <x:v>2026-02</x:v>
      </x:c>
      <x:c r="C73" s="15" t="str">
        <x:v>ReelShort</x:v>
      </x:c>
      <x:c r="D73" s="15" t="str">
        <x:v>Base_XLSX</x:v>
      </x:c>
      <x:c r="E73" s="15" t="n">
        <x:v>4</x:v>
      </x:c>
      <x:c r="F73" s="15" t="str">
        <x:v>Base only</x:v>
      </x:c>
      <x:c r="G73" s="15" t="str">
        <x:v>Baby, Just Say Yes</x:v>
      </x:c>
      <x:c r="H73" s="15" t="str">
        <x:v>Baby, Just Say Yes</x:v>
      </x:c>
      <x:c r="I73" s="15" t="str">
        <x:v>Live-action; AIGC not flagged</x:v>
      </x:c>
      <x:c r="J73" s="15" t="str">
        <x:v>Not flagged</x:v>
      </x:c>
      <x:c r="K73" s="15" t="str">
        <x:v>Female / Family-romance</x:v>
      </x:c>
      <x:c r="L73" s="15" t="str">
        <x:v>Pregnancy / Baby / Romance</x:v>
      </x:c>
      <x:c r="M73" s="15" t="str">
        <x:v>Child/family reunion</x:v>
      </x:c>
      <x:c r="N73" s="15" t="str">
        <x:v>혈연/아이 진실을 반쯤 드러내고 대면·인정은 지연</x:v>
      </x:c>
      <x:c r="O73" s="15" t="str">
        <x:v>Medium: 아이/가족 감정은 직관화하되 섬세한 연기는 과신 금지</x:v>
      </x:c>
      <x:c r="P73" s="15" t="str">
        <x:v>아기/임신·로맨스 결정을 중심으로 한 여성향 관계극.</x:v>
      </x:c>
      <x:c r="Q73" s="15" t="str">
        <x:v>App Store featured show.</x:v>
      </x:c>
      <x:c r="R73" s="15" t="str">
        <x:v>Featured in ReelShort app listing.</x:v>
      </x:c>
      <x:c r="S73" s="15" t="str">
        <x:v>C / Watch</x:v>
      </x:c>
      <x:c r="T73" s="18" t="n">
        <x:v>67</x:v>
      </x:c>
      <x:c r="U73" s="15" t="str">
        <x:v>C_Watch</x:v>
      </x:c>
      <x:c r="V73" s="15" t="str">
        <x:v>WATCH_REPLACE</x:v>
      </x:c>
      <x:c r="W73" s="15" t="str">
        <x:v>Ms. CEO’s Baby Daddy Is the Merchant of Death</x:v>
      </x:c>
      <x:c r="X73" s="15" t="str">
        <x:v>현행 medium 하위 슬롯. 보강자료 증거 강도에 따라 교체 가능.</x:v>
      </x:c>
      <x:c r="Y73" s="15" t="str">
        <x:v>https://apps.apple.com/us/app/reelshort-stream-dramas-tv/id1632840184</x:v>
      </x:c>
      <x:c r="Z73" s="15" t="str">
        <x:v>공식 성과/광고 집행량 재확인.</x:v>
      </x:c>
    </x:row>
    <x:row r="74">
      <x:c r="A74" s="15" t="str">
        <x:v>L0073</x:v>
      </x:c>
      <x:c r="B74" s="15" t="str">
        <x:v>2026-02</x:v>
      </x:c>
      <x:c r="C74" s="15" t="str">
        <x:v>ReelShort</x:v>
      </x:c>
      <x:c r="D74" s="15" t="str">
        <x:v>Base_XLSX</x:v>
      </x:c>
      <x:c r="E74" s="15" t="n">
        <x:v>5</x:v>
      </x:c>
      <x:c r="F74" s="15" t="str">
        <x:v>Base only</x:v>
      </x:c>
      <x:c r="G74" s="15" t="str">
        <x:v>Don’t Miss Me When I’m Gone</x:v>
      </x:c>
      <x:c r="H74" s="15" t="str">
        <x:v>Don’t Miss Me When I’m Gone</x:v>
      </x:c>
      <x:c r="I74" s="15" t="str">
        <x:v>Live-action; AIGC not flagged</x:v>
      </x:c>
      <x:c r="J74" s="15" t="str">
        <x:v>Not flagged</x:v>
      </x:c>
      <x:c r="K74" s="15" t="str">
        <x:v>Family regret / mixed</x:v>
      </x:c>
      <x:c r="L74" s="15" t="str">
        <x:v>Family Regret / All-Too-Late</x:v>
      </x:c>
      <x:c r="M74" s="15" t="str">
        <x:v>Revenge/regret payoff + Child/family reunion</x:v>
      </x:c>
      <x:c r="N74" s="15" t="str">
        <x:v>굴욕/배신 후 첫 반격을 예고하고 본격 응징은 지연</x:v>
      </x:c>
      <x:c r="O74" s="15" t="str">
        <x:v>Medium: 아이/가족 감정은 직관화하되 섬세한 연기는 과신 금지</x:v>
      </x:c>
      <x:c r="P74" s="15" t="str">
        <x:v>떠난 뒤 후회하는 all-too-late 가족/로맨스 구조.</x:v>
      </x:c>
      <x:c r="Q74" s="15" t="str">
        <x:v>App Store featured show.</x:v>
      </x:c>
      <x:c r="R74" s="15" t="str">
        <x:v>Featured in ReelShort app listing.</x:v>
      </x:c>
      <x:c r="S74" s="15" t="str">
        <x:v>C / Watch</x:v>
      </x:c>
      <x:c r="T74" s="18" t="n">
        <x:v>67</x:v>
      </x:c>
      <x:c r="U74" s="15" t="str">
        <x:v>C_Watch</x:v>
      </x:c>
      <x:c r="V74" s="15" t="str">
        <x:v>WATCH_REPLACE</x:v>
      </x:c>
      <x:c r="W74" s="15" t="str">
        <x:v>Ms. CEO’s Baby Daddy Is the Merchant of Death</x:v>
      </x:c>
      <x:c r="X74" s="15" t="str">
        <x:v>현행 medium 하위 슬롯. 보강자료 증거 강도에 따라 교체 가능.</x:v>
      </x:c>
      <x:c r="Y74" s="15" t="str">
        <x:v>https://apps.apple.com/us/app/reelshort-stream-dramas-tv/id1632840184</x:v>
      </x:c>
      <x:c r="Z74" s="15" t="str">
        <x:v>공식 성과/광고 집행량 재확인.</x:v>
      </x:c>
    </x:row>
    <x:row r="75">
      <x:c r="A75" s="15" t="str">
        <x:v>L0074</x:v>
      </x:c>
      <x:c r="B75" s="15" t="str">
        <x:v>2026-03</x:v>
      </x:c>
      <x:c r="C75" s="15" t="str">
        <x:v>ReelShort</x:v>
      </x:c>
      <x:c r="D75" s="15" t="str">
        <x:v>Base_XLSX</x:v>
      </x:c>
      <x:c r="E75" s="15" t="n">
        <x:v>1</x:v>
      </x:c>
      <x:c r="F75" s="15" t="str">
        <x:v>Base only</x:v>
      </x:c>
      <x:c r="G75" s="15" t="str">
        <x:v>Family by Love or by Blood</x:v>
      </x:c>
      <x:c r="H75" s="15" t="str">
        <x:v>Family by Love or by Blood</x:v>
      </x:c>
      <x:c r="I75" s="15" t="str">
        <x:v>Space fantasy; AIGC candidate</x:v>
      </x:c>
      <x:c r="J75" s="15" t="str">
        <x:v>AIGC/Animation candidate</x:v>
      </x:c>
      <x:c r="K75" s="15" t="str">
        <x:v>Female / Family-romance</x:v>
      </x:c>
      <x:c r="L75" s="15" t="str">
        <x:v>Space Fantasy / Family / Found Family</x:v>
      </x:c>
      <x:c r="M75" s="15" t="str">
        <x:v>Child/family reunion</x:v>
      </x:c>
      <x:c r="N75" s="15" t="str">
        <x:v>무료부에서는 결핍과 예고, 유료부에서는 보상/진실/역전</x:v>
      </x:c>
      <x:c r="O75" s="15" t="str">
        <x:v>High: VFX·세계관·시스템 UI·비현실 스케일을 직접 보상화</x:v>
      </x:c>
      <x:c r="P75" s="15" t="str">
        <x:v>가족이 피인가 사랑인가를 묻는 우주 판타지형 vertical.</x:v>
      </x:c>
      <x:c r="Q75" s="15" t="str">
        <x:v>Fandom에서 heartfelt space fantasy로 소개.</x:v>
      </x:c>
      <x:c r="R75" s="15" t="str">
        <x:v>Publication 2026-03-04.</x:v>
      </x:c>
      <x:c r="S75" s="15" t="str">
        <x:v>B / Useful verified</x:v>
      </x:c>
      <x:c r="T75" s="18" t="n">
        <x:v>73</x:v>
      </x:c>
      <x:c r="U75" s="15" t="str">
        <x:v>B_Strong</x:v>
      </x:c>
      <x:c r="V75" s="15" t="str">
        <x:v>KEEP</x:v>
      </x:c>
      <x:c r="W75" s="15" t="str"/>
      <x:c r="X75" s="15" t="str"/>
      <x:c r="Y75" s="15" t="str">
        <x:v>https://www.reelshort.com/fandom/family-by-love-or-by-blood-reelshort-01-22-ebe1a5e1ff29/</x:v>
      </x:c>
      <x:c r="Z75" s="15" t="str">
        <x:v>제작 AIGC 직접 표기 확인 필요.</x:v>
      </x:c>
    </x:row>
    <x:row r="76">
      <x:c r="A76" s="15" t="str">
        <x:v>L0075</x:v>
      </x:c>
      <x:c r="B76" s="15" t="str">
        <x:v>2026-03</x:v>
      </x:c>
      <x:c r="C76" s="15" t="str">
        <x:v>ReelShort</x:v>
      </x:c>
      <x:c r="D76" s="15" t="str">
        <x:v>Base_XLSX</x:v>
      </x:c>
      <x:c r="E76" s="15" t="n">
        <x:v>2</x:v>
      </x:c>
      <x:c r="F76" s="15" t="str">
        <x:v>Base only</x:v>
      </x:c>
      <x:c r="G76" s="15" t="str">
        <x:v>Vicious</x:v>
      </x:c>
      <x:c r="H76" s="15" t="str">
        <x:v>Vicious</x:v>
      </x:c>
      <x:c r="I76" s="15" t="str">
        <x:v>Live-action; AIGC not flagged</x:v>
      </x:c>
      <x:c r="J76" s="15" t="str">
        <x:v>Not flagged</x:v>
      </x:c>
      <x:c r="K76" s="15" t="str">
        <x:v>Female / Romance</x:v>
      </x:c>
      <x:c r="L76" s="15" t="str">
        <x:v>High School / Billionaire Romance / Fantasy / Enemies-to-Lovers</x:v>
      </x:c>
      <x:c r="M76" s="15" t="str">
        <x:v>High-status partner/authority + Campus/sports heat</x:v>
      </x:c>
      <x:c r="N76" s="15" t="str">
        <x:v>강한 케미·보호/소유 신호를 주되 감정 확정은 지연</x:v>
      </x:c>
      <x:c r="O76" s="15" t="str">
        <x:v>Medium-High: 압도적 외모·의상·공간 미감으로 실사형 보상 강화</x:v>
      </x:c>
      <x:c r="P76" s="15" t="str">
        <x:v>고등학교·억만장자·판타지 감각의 enemies-to-lovers 로맨스.</x:v>
      </x:c>
      <x:c r="Q76" s="15" t="str">
        <x:v>Fandom ending guide 존재.</x:v>
      </x:c>
      <x:c r="R76" s="15" t="str">
        <x:v>Publication 2026-03-14.</x:v>
      </x:c>
      <x:c r="S76" s="15" t="str">
        <x:v>B / Useful verified</x:v>
      </x:c>
      <x:c r="T76" s="18" t="n">
        <x:v>73</x:v>
      </x:c>
      <x:c r="U76" s="15" t="str">
        <x:v>B_Strong</x:v>
      </x:c>
      <x:c r="V76" s="15" t="str">
        <x:v>KEEP</x:v>
      </x:c>
      <x:c r="W76" s="15" t="str"/>
      <x:c r="X76" s="15" t="str"/>
      <x:c r="Y76" s="15" t="str">
        <x:v>https://www.reelshort.com/fandom/reelshort-vicious-ending-01-9-38fccd6193b4/</x:v>
      </x:c>
      <x:c r="Z76" s="15" t="str"/>
    </x:row>
    <x:row r="77">
      <x:c r="A77" s="15" t="str">
        <x:v>L0076</x:v>
      </x:c>
      <x:c r="B77" s="15" t="str">
        <x:v>2026-03</x:v>
      </x:c>
      <x:c r="C77" s="15" t="str">
        <x:v>ReelShort</x:v>
      </x:c>
      <x:c r="D77" s="15" t="str">
        <x:v>Base_XLSX</x:v>
      </x:c>
      <x:c r="E77" s="15" t="n">
        <x:v>3</x:v>
      </x:c>
      <x:c r="F77" s="15" t="str">
        <x:v>Base only</x:v>
      </x:c>
      <x:c r="G77" s="15" t="str">
        <x:v>To Save His Daughter He Must Become A Killer</x:v>
      </x:c>
      <x:c r="H77" s="15" t="str">
        <x:v>To Save His Daughter He Must Become A Killer</x:v>
      </x:c>
      <x:c r="I77" s="15" t="str">
        <x:v>Live-action; AIGC not flagged</x:v>
      </x:c>
      <x:c r="J77" s="15" t="str">
        <x:v>Not flagged</x:v>
      </x:c>
      <x:c r="K77" s="15" t="str">
        <x:v>Family regret / mixed</x:v>
      </x:c>
      <x:c r="L77" s="15" t="str">
        <x:v>Action / Father-Daughter / Killer</x:v>
      </x:c>
      <x:c r="M77" s="15" t="str">
        <x:v>Child/family reunion</x:v>
      </x:c>
      <x:c r="N77" s="15" t="str">
        <x:v>혈연/아이 진실을 반쯤 드러내고 대면·인정은 지연</x:v>
      </x:c>
      <x:c r="O77" s="15" t="str">
        <x:v>Medium: 아이/가족 감정은 직관화하되 섬세한 연기는 과신 금지</x:v>
      </x:c>
      <x:c r="P77" s="15" t="str">
        <x:v>딸을 구하기 위해 킬러가 되어야 하는 아버지의 액션형 숏드라마.</x:v>
      </x:c>
      <x:c r="Q77" s="15" t="str">
        <x:v>Fandom에서 kickass moments against mobsters 언급.</x:v>
      </x:c>
      <x:c r="R77" s="15" t="str">
        <x:v>Publication 2026-03-13.</x:v>
      </x:c>
      <x:c r="S77" s="15" t="str">
        <x:v>C / Watch</x:v>
      </x:c>
      <x:c r="T77" s="18" t="n">
        <x:v>56</x:v>
      </x:c>
      <x:c r="U77" s="15" t="str">
        <x:v>C_Watch</x:v>
      </x:c>
      <x:c r="V77" s="15" t="str">
        <x:v>POSSIBLE_REPLACE_BY_SUPPLEMENT</x:v>
      </x:c>
      <x:c r="W77" s="15" t="str">
        <x:v>The Cooking Queen: A Recipe for Divorce</x:v>
      </x:c>
      <x:c r="X77" s="15" t="str">
        <x:v>동월·동플랫폼 보강자료 후보가 있고, 현행 행의 confidence가 Low라 교체 후보.</x:v>
      </x:c>
      <x:c r="Y77" s="15" t="str">
        <x:v>https://www.reelshort.com/fandom/from-international-arms-dealer-to-full-time-dad-cast-01-2-87e4a9c3288b/</x:v>
      </x:c>
      <x:c r="Z77" s="15" t="str">
        <x:v>공식 성과/광고 집행량 재확인.</x:v>
      </x:c>
    </x:row>
    <x:row r="78">
      <x:c r="A78" s="15" t="str">
        <x:v>L0077</x:v>
      </x:c>
      <x:c r="B78" s="15" t="str">
        <x:v>2026-03</x:v>
      </x:c>
      <x:c r="C78" s="15" t="str">
        <x:v>ReelShort</x:v>
      </x:c>
      <x:c r="D78" s="15" t="str">
        <x:v>Base_XLSX</x:v>
      </x:c>
      <x:c r="E78" s="15" t="n">
        <x:v>4</x:v>
      </x:c>
      <x:c r="F78" s="15" t="str">
        <x:v>Base only</x:v>
      </x:c>
      <x:c r="G78" s="15" t="str">
        <x:v>Scandalous</x:v>
      </x:c>
      <x:c r="H78" s="15" t="str">
        <x:v>Scandalous</x:v>
      </x:c>
      <x:c r="I78" s="15" t="str">
        <x:v>Live-action; AIGC not flagged</x:v>
      </x:c>
      <x:c r="J78" s="15" t="str">
        <x:v>Not flagged</x:v>
      </x:c>
      <x:c r="K78" s="15" t="str">
        <x:v>Female / Romance</x:v>
      </x:c>
      <x:c r="L78" s="15" t="str">
        <x:v>Scandal / Romance / Status Conflict</x:v>
      </x:c>
      <x:c r="M78" s="15" t="str">
        <x:v>Core melodrama hook</x:v>
      </x:c>
      <x:c r="N78" s="15" t="str">
        <x:v>무료부에서는 결핍과 예고, 유료부에서는 보상/진실/역전</x:v>
      </x:c>
      <x:c r="O78" s="15" t="str">
        <x:v>Medium: 광고 컷·후킹 이미지 보강용</x:v>
      </x:c>
      <x:c r="P78" s="15" t="str">
        <x:v>스캔들/연예계성 권력과 욕망을 중심으로 한 로맨스 드라마.</x:v>
      </x:c>
      <x:c r="Q78" s="15" t="str">
        <x:v>Fandom cast/highlight articles 존재.</x:v>
      </x:c>
      <x:c r="R78" s="15" t="str">
        <x:v>Publication 2026-03-25~26.</x:v>
      </x:c>
      <x:c r="S78" s="15" t="str">
        <x:v>C / Watch</x:v>
      </x:c>
      <x:c r="T78" s="18" t="n">
        <x:v>56</x:v>
      </x:c>
      <x:c r="U78" s="15" t="str">
        <x:v>C_Watch</x:v>
      </x:c>
      <x:c r="V78" s="15" t="str">
        <x:v>POSSIBLE_REPLACE_BY_SUPPLEMENT</x:v>
      </x:c>
      <x:c r="W78" s="15" t="str">
        <x:v>The Cooking Queen: A Recipe for Divorce</x:v>
      </x:c>
      <x:c r="X78" s="15" t="str">
        <x:v>동월·동플랫폼 보강자료 후보가 있고, 현행 행의 confidence가 Low라 교체 후보.</x:v>
      </x:c>
      <x:c r="Y78" s="15" t="str">
        <x:v>https://www.reelshort.com/fandom/reelshort-vicious-ending-01-9-38fccd6193b4/</x:v>
      </x:c>
      <x:c r="Z78" s="15" t="str">
        <x:v>공식 성과/광고 집행량 재확인.</x:v>
      </x:c>
    </x:row>
    <x:row r="79">
      <x:c r="A79" s="15" t="str">
        <x:v>L0078</x:v>
      </x:c>
      <x:c r="B79" s="15" t="str">
        <x:v>2026-03</x:v>
      </x:c>
      <x:c r="C79" s="15" t="str">
        <x:v>ReelShort</x:v>
      </x:c>
      <x:c r="D79" s="15" t="str">
        <x:v>Base_XLSX</x:v>
      </x:c>
      <x:c r="E79" s="15" t="n">
        <x:v>5</x:v>
      </x:c>
      <x:c r="F79" s="15" t="str">
        <x:v>Base only</x:v>
      </x:c>
      <x:c r="G79" s="15" t="str">
        <x:v>The Magnificent Bodyguard</x:v>
      </x:c>
      <x:c r="H79" s="15" t="str">
        <x:v>The Magnificent Bodyguard</x:v>
      </x:c>
      <x:c r="I79" s="15" t="str">
        <x:v>Live-action; AIGC not flagged</x:v>
      </x:c>
      <x:c r="J79" s="15" t="str">
        <x:v>Not flagged</x:v>
      </x:c>
      <x:c r="K79" s="15" t="str">
        <x:v>Female / Family-romance</x:v>
      </x:c>
      <x:c r="L79" s="15" t="str">
        <x:v>Bodyguard / Found Childhood Lovers / Action Romance</x:v>
      </x:c>
      <x:c r="M79" s="15" t="str">
        <x:v>Child/family reunion</x:v>
      </x:c>
      <x:c r="N79" s="15" t="str">
        <x:v>혈연/아이 진실을 반쯤 드러내고 대면·인정은 지연</x:v>
      </x:c>
      <x:c r="O79" s="15" t="str">
        <x:v>Medium: 아이/가족 감정은 직관화하되 섬세한 연기는 과신 금지</x:v>
      </x:c>
      <x:c r="P79" s="15" t="str">
        <x:v>어릴 적 연인/보디가드가 다시 만나는 보호자 로맨스.</x:v>
      </x:c>
      <x:c r="Q79" s="15" t="str">
        <x:v>Fandom cast guide 존재.</x:v>
      </x:c>
      <x:c r="R79" s="15" t="str">
        <x:v>Publication 2026-03-17.</x:v>
      </x:c>
      <x:c r="S79" s="15" t="str">
        <x:v>C / Watch</x:v>
      </x:c>
      <x:c r="T79" s="18" t="n">
        <x:v>56</x:v>
      </x:c>
      <x:c r="U79" s="15" t="str">
        <x:v>C_Watch</x:v>
      </x:c>
      <x:c r="V79" s="15" t="str">
        <x:v>POSSIBLE_REPLACE_BY_SUPPLEMENT</x:v>
      </x:c>
      <x:c r="W79" s="15" t="str">
        <x:v>The Cooking Queen: A Recipe for Divorce</x:v>
      </x:c>
      <x:c r="X79" s="15" t="str">
        <x:v>동월·동플랫폼 보강자료 후보가 있고, 현행 행의 confidence가 Low라 교체 후보.</x:v>
      </x:c>
      <x:c r="Y79" s="15" t="str">
        <x:v>https://www.reelshort.com/fandom/from-international-arms-dealer-to-full-time-dad-cast-01-2-87e4a9c3288b/</x:v>
      </x:c>
      <x:c r="Z79" s="15" t="str">
        <x:v>공식 성과/광고 집행량 재확인.</x:v>
      </x:c>
    </x:row>
    <x:row r="80">
      <x:c r="A80" s="15" t="str">
        <x:v>L0079</x:v>
      </x:c>
      <x:c r="B80" s="15" t="str">
        <x:v>2026-04</x:v>
      </x:c>
      <x:c r="C80" s="15" t="str">
        <x:v>ReelShort</x:v>
      </x:c>
      <x:c r="D80" s="15" t="str">
        <x:v>Base_XLSX</x:v>
      </x:c>
      <x:c r="E80" s="15" t="n">
        <x:v>1</x:v>
      </x:c>
      <x:c r="F80" s="15" t="str">
        <x:v>Base only</x:v>
      </x:c>
      <x:c r="G80" s="15" t="str">
        <x:v>She’s Not Homeless, She’s Healer Goddess</x:v>
      </x:c>
      <x:c r="H80" s="15" t="str">
        <x:v>She’s Not Homeless, She’s Healer Goddess</x:v>
      </x:c>
      <x:c r="I80" s="15" t="str">
        <x:v>Fantasy; AIGC candidate</x:v>
      </x:c>
      <x:c r="J80" s="15" t="str">
        <x:v>AIGC/Animation candidate</x:v>
      </x:c>
      <x:c r="K80" s="15" t="str">
        <x:v>Female / Romance</x:v>
      </x:c>
      <x:c r="L80" s="15" t="str">
        <x:v>Healer Goddess / Hidden Identity / Fantasy Romance</x:v>
      </x:c>
      <x:c r="M80" s="15" t="str">
        <x:v>Hidden-identity reveal</x:v>
      </x:c>
      <x:c r="N80" s="15" t="str">
        <x:v>정체/권력 공개 직전까지 결핍·오해를 누적</x:v>
      </x:c>
      <x:c r="O80" s="15" t="str">
        <x:v>High: VFX·세계관·시스템 UI·비현실 스케일을 직접 보상화</x:v>
      </x:c>
      <x:c r="P80" s="15" t="str">
        <x:v>노숙자로 보이는 여성이 사실 치유 여신/고위 정체를 가진 판타지 로맨스.</x:v>
      </x:c>
      <x:c r="Q80" s="15" t="str">
        <x:v>Fandom에서 viral fantasy romance로 소개.</x:v>
      </x:c>
      <x:c r="R80" s="15" t="str">
        <x:v>Publication 2026-04-27.</x:v>
      </x:c>
      <x:c r="S80" s="15" t="str">
        <x:v>B / Useful verified</x:v>
      </x:c>
      <x:c r="T80" s="18" t="n">
        <x:v>73</x:v>
      </x:c>
      <x:c r="U80" s="15" t="str">
        <x:v>B_Strong</x:v>
      </x:c>
      <x:c r="V80" s="15" t="str">
        <x:v>KEEP</x:v>
      </x:c>
      <x:c r="W80" s="15" t="str"/>
      <x:c r="X80" s="15" t="str"/>
      <x:c r="Y80" s="15" t="str">
        <x:v>https://www.reelshort.com/fandom/?p=42705</x:v>
      </x:c>
      <x:c r="Z80" s="15" t="str">
        <x:v>제작 AIGC 직접 표기 확인 필요.</x:v>
      </x:c>
    </x:row>
    <x:row r="81">
      <x:c r="A81" s="15" t="str">
        <x:v>L0080</x:v>
      </x:c>
      <x:c r="B81" s="15" t="str">
        <x:v>2026-04</x:v>
      </x:c>
      <x:c r="C81" s="15" t="str">
        <x:v>ReelShort</x:v>
      </x:c>
      <x:c r="D81" s="15" t="str">
        <x:v>Base_XLSX</x:v>
      </x:c>
      <x:c r="E81" s="15" t="n">
        <x:v>2</x:v>
      </x:c>
      <x:c r="F81" s="15" t="str">
        <x:v>Base only</x:v>
      </x:c>
      <x:c r="G81" s="15" t="str">
        <x:v>Lady CEO’s Fatal Contract</x:v>
      </x:c>
      <x:c r="H81" s="15" t="str">
        <x:v>Lady CEO’s Fatal Contract</x:v>
      </x:c>
      <x:c r="I81" s="15" t="str">
        <x:v>Live-action; AIGC not flagged</x:v>
      </x:c>
      <x:c r="J81" s="15" t="str">
        <x:v>Not flagged</x:v>
      </x:c>
      <x:c r="K81" s="15" t="str">
        <x:v>Female / Romance</x:v>
      </x:c>
      <x:c r="L81" s="15" t="str">
        <x:v>Lady CEO / Fatal Contract / Dark Romance</x:v>
      </x:c>
      <x:c r="M81" s="15" t="str">
        <x:v>High-status partner/authority</x:v>
      </x:c>
      <x:c r="N81" s="15" t="str">
        <x:v>강한 케미·보호/소유 신호를 주되 감정 확정은 지연</x:v>
      </x:c>
      <x:c r="O81" s="15" t="str">
        <x:v>Medium-High: 압도적 외모·의상·공간 미감으로 실사형 보상 강화</x:v>
      </x:c>
      <x:c r="P81" s="15" t="str">
        <x:v>여성 CEO와 치명적 계약을 중심으로 한 고수위/위험 로맨스.</x:v>
      </x:c>
      <x:c r="Q81" s="15" t="str">
        <x:v>Fandom에서 romantic BDSM thrill로 소개.</x:v>
      </x:c>
      <x:c r="R81" s="15" t="str">
        <x:v>Publication 2026-04-29.</x:v>
      </x:c>
      <x:c r="S81" s="15" t="str">
        <x:v>B / Useful verified</x:v>
      </x:c>
      <x:c r="T81" s="18" t="n">
        <x:v>73</x:v>
      </x:c>
      <x:c r="U81" s="15" t="str">
        <x:v>B_Strong</x:v>
      </x:c>
      <x:c r="V81" s="15" t="str">
        <x:v>KEEP</x:v>
      </x:c>
      <x:c r="W81" s="15" t="str"/>
      <x:c r="X81" s="15" t="str"/>
      <x:c r="Y81" s="15" t="str">
        <x:v>https://www.reelshort.com/fandom/violet-sterling-and-liam-01-6-a6b2a725d5de/</x:v>
      </x:c>
      <x:c r="Z81" s="15" t="str"/>
    </x:row>
    <x:row r="82">
      <x:c r="A82" s="15" t="str">
        <x:v>L0081</x:v>
      </x:c>
      <x:c r="B82" s="15" t="str">
        <x:v>2026-04</x:v>
      </x:c>
      <x:c r="C82" s="15" t="str">
        <x:v>ReelShort</x:v>
      </x:c>
      <x:c r="D82" s="15" t="str">
        <x:v>Base_XLSX</x:v>
      </x:c>
      <x:c r="E82" s="15" t="n">
        <x:v>3</x:v>
      </x:c>
      <x:c r="F82" s="15" t="str">
        <x:v>Base only</x:v>
      </x:c>
      <x:c r="G82" s="15" t="str">
        <x:v>The Janitor Billionaire, His Swapped Bride</x:v>
      </x:c>
      <x:c r="H82" s="15" t="str">
        <x:v>The Janitor Billionaire, His Swapped Bride</x:v>
      </x:c>
      <x:c r="I82" s="15" t="str">
        <x:v>Live-action; AIGC not flagged</x:v>
      </x:c>
      <x:c r="J82" s="15" t="str">
        <x:v>Not flagged</x:v>
      </x:c>
      <x:c r="K82" s="15" t="str">
        <x:v>Female / Romance</x:v>
      </x:c>
      <x:c r="L82" s="15" t="str">
        <x:v>Janitor Billionaire / Swapped Bride / Hidden Identity</x:v>
      </x:c>
      <x:c r="M82" s="15" t="str">
        <x:v>Hidden-identity reveal + High-status partner/authority</x:v>
      </x:c>
      <x:c r="N82" s="15" t="str">
        <x:v>정체/권력 공개 직전까지 결핍·오해를 누적</x:v>
      </x:c>
      <x:c r="O82" s="15" t="str">
        <x:v>Medium-High: 압도적 외모·의상·공간 미감으로 실사형 보상 강화</x:v>
      </x:c>
      <x:c r="P82" s="15" t="str">
        <x:v>청소부처럼 보이는 억만장자와 바뀐 신부의 fake/identity romance.</x:v>
      </x:c>
      <x:c r="Q82" s="15" t="str">
        <x:v>Fandom character article 존재.</x:v>
      </x:c>
      <x:c r="R82" s="15" t="str">
        <x:v>Publication 2026-04-28.</x:v>
      </x:c>
      <x:c r="S82" s="15" t="str">
        <x:v>C / Watch</x:v>
      </x:c>
      <x:c r="T82" s="18" t="n">
        <x:v>56</x:v>
      </x:c>
      <x:c r="U82" s="15" t="str">
        <x:v>C_Watch</x:v>
      </x:c>
      <x:c r="V82" s="15" t="str">
        <x:v>POSSIBLE_REPLACE_BY_SUPPLEMENT</x:v>
      </x:c>
      <x:c r="W82" s="15" t="str">
        <x:v>My Secret Lover Is His Brother; Silicon God Strikes Back</x:v>
      </x:c>
      <x:c r="X82" s="15" t="str">
        <x:v>동월·동플랫폼 보강자료 후보가 있고, 현행 행의 confidence가 Low라 교체 후보.</x:v>
      </x:c>
      <x:c r="Y82" s="15" t="str">
        <x:v>https://www.reelshort.com/fandom/violet-sterling-and-liam-01-6-a6b2a725d5de/</x:v>
      </x:c>
      <x:c r="Z82" s="15" t="str">
        <x:v>공식 성과/광고 집행량 재확인.</x:v>
      </x:c>
    </x:row>
    <x:row r="83">
      <x:c r="A83" s="15" t="str">
        <x:v>L0082</x:v>
      </x:c>
      <x:c r="B83" s="15" t="str">
        <x:v>2026-04</x:v>
      </x:c>
      <x:c r="C83" s="15" t="str">
        <x:v>ReelShort</x:v>
      </x:c>
      <x:c r="D83" s="15" t="str">
        <x:v>Base_XLSX</x:v>
      </x:c>
      <x:c r="E83" s="15" t="n">
        <x:v>4</x:v>
      </x:c>
      <x:c r="F83" s="15" t="str">
        <x:v>Base only</x:v>
      </x:c>
      <x:c r="G83" s="15" t="str">
        <x:v>Divorce Tears From The Alpha But I Shine Alone</x:v>
      </x:c>
      <x:c r="H83" s="15" t="str">
        <x:v>Divorce Tears From The Alpha But I Shine Alone</x:v>
      </x:c>
      <x:c r="I83" s="15" t="str">
        <x:v>Live-action; AIGC not flagged</x:v>
      </x:c>
      <x:c r="J83" s="15" t="str">
        <x:v>Not flagged</x:v>
      </x:c>
      <x:c r="K83" s="15" t="str">
        <x:v>Female / Romance</x:v>
      </x:c>
      <x:c r="L83" s="15" t="str">
        <x:v>Werewolf / Divorce / Female Independence</x:v>
      </x:c>
      <x:c r="M83" s="15" t="str">
        <x:v>High-status partner/authority</x:v>
      </x:c>
      <x:c r="N83" s="15" t="str">
        <x:v>강한 케미·보호/소유 신호를 주되 감정 확정은 지연</x:v>
      </x:c>
      <x:c r="O83" s="15" t="str">
        <x:v>Medium: 광고 컷·후킹 이미지 보강용</x:v>
      </x:c>
      <x:c r="P83" s="15" t="str">
        <x:v>알파와 이혼 뒤 여주가 홀로 빛나는 werewolf/독립 여성향.</x:v>
      </x:c>
      <x:c r="Q83" s="15" t="str">
        <x:v>Fandom cast guide 존재.</x:v>
      </x:c>
      <x:c r="R83" s="15" t="str">
        <x:v>Publication 2026-04-20.</x:v>
      </x:c>
      <x:c r="S83" s="15" t="str">
        <x:v>C / Watch</x:v>
      </x:c>
      <x:c r="T83" s="18" t="n">
        <x:v>56</x:v>
      </x:c>
      <x:c r="U83" s="15" t="str">
        <x:v>C_Watch</x:v>
      </x:c>
      <x:c r="V83" s="15" t="str">
        <x:v>POSSIBLE_REPLACE_BY_SUPPLEMENT</x:v>
      </x:c>
      <x:c r="W83" s="15" t="str">
        <x:v>My Secret Lover Is His Brother; Silicon God Strikes Back</x:v>
      </x:c>
      <x:c r="X83" s="15" t="str">
        <x:v>동월·동플랫폼 보강자료 후보가 있고, 현행 행의 confidence가 Low라 교체 후보.</x:v>
      </x:c>
      <x:c r="Y83" s="15" t="str">
        <x:v>https://www.reelshort.com/fandom/best-werewolf-movies-01-20/</x:v>
      </x:c>
      <x:c r="Z83" s="15" t="str">
        <x:v>공식 성과/광고 집행량 재확인.</x:v>
      </x:c>
    </x:row>
    <x:row r="84">
      <x:c r="A84" s="15" t="str">
        <x:v>L0083</x:v>
      </x:c>
      <x:c r="B84" s="15" t="str">
        <x:v>2026-04</x:v>
      </x:c>
      <x:c r="C84" s="15" t="str">
        <x:v>ReelShort</x:v>
      </x:c>
      <x:c r="D84" s="15" t="str">
        <x:v>Base_XLSX</x:v>
      </x:c>
      <x:c r="E84" s="15" t="n">
        <x:v>5</x:v>
      </x:c>
      <x:c r="F84" s="15" t="str">
        <x:v>Base only</x:v>
      </x:c>
      <x:c r="G84" s="15" t="str">
        <x:v>All’s Fairway in Love at the Country Club</x:v>
      </x:c>
      <x:c r="H84" s="15" t="str">
        <x:v>All’s Fairway in Love at the Country Club</x:v>
      </x:c>
      <x:c r="I84" s="15" t="str">
        <x:v>Live-action; AIGC not flagged</x:v>
      </x:c>
      <x:c r="J84" s="15" t="str">
        <x:v>Not flagged</x:v>
      </x:c>
      <x:c r="K84" s="15" t="str">
        <x:v>Female / Romance</x:v>
      </x:c>
      <x:c r="L84" s="15" t="str">
        <x:v>Country Club / Golf / Romance</x:v>
      </x:c>
      <x:c r="M84" s="15" t="str">
        <x:v>Core melodrama hook</x:v>
      </x:c>
      <x:c r="N84" s="15" t="str">
        <x:v>무료부에서는 결핍과 예고, 유료부에서는 보상/진실/역전</x:v>
      </x:c>
      <x:c r="O84" s="15" t="str">
        <x:v>Medium: 광고 컷·후킹 이미지 보강용</x:v>
      </x:c>
      <x:c r="P84" s="15" t="str">
        <x:v>골프/컨트리클럽 계급과 로맨스를 결합한 light romance.</x:v>
      </x:c>
      <x:c r="Q84" s="15" t="str">
        <x:v>Fandom article 존재.</x:v>
      </x:c>
      <x:c r="R84" s="15" t="str">
        <x:v>Publication 2026-04-18.</x:v>
      </x:c>
      <x:c r="S84" s="15" t="str">
        <x:v>C / Watch</x:v>
      </x:c>
      <x:c r="T84" s="18" t="n">
        <x:v>56</x:v>
      </x:c>
      <x:c r="U84" s="15" t="str">
        <x:v>C_Watch</x:v>
      </x:c>
      <x:c r="V84" s="15" t="str">
        <x:v>POSSIBLE_REPLACE_BY_SUPPLEMENT</x:v>
      </x:c>
      <x:c r="W84" s="15" t="str">
        <x:v>My Secret Lover Is His Brother; Silicon God Strikes Back</x:v>
      </x:c>
      <x:c r="X84" s="15" t="str">
        <x:v>동월·동플랫폼 보강자료 후보가 있고, 현행 행의 confidence가 Low라 교체 후보.</x:v>
      </x:c>
      <x:c r="Y84" s="15" t="str">
        <x:v>https://www.reelshort.com/fandom/violet-sterling-and-liam-01-6-a6b2a725d5de/</x:v>
      </x:c>
      <x:c r="Z84" s="15" t="str">
        <x:v>공식 성과/광고 집행량 재확인.</x:v>
      </x:c>
    </x:row>
    <x:row r="85">
      <x:c r="A85" s="15" t="str">
        <x:v>L0084</x:v>
      </x:c>
      <x:c r="B85" s="15" t="str">
        <x:v>2026-05</x:v>
      </x:c>
      <x:c r="C85" s="15" t="str">
        <x:v>ReelShort</x:v>
      </x:c>
      <x:c r="D85" s="15" t="str">
        <x:v>Base_XLSX</x:v>
      </x:c>
      <x:c r="E85" s="15" t="n">
        <x:v>1</x:v>
      </x:c>
      <x:c r="F85" s="15" t="str">
        <x:v>Base only</x:v>
      </x:c>
      <x:c r="G85" s="15" t="str">
        <x:v>End of the World, Start of My Empire</x:v>
      </x:c>
      <x:c r="H85" s="15" t="str">
        <x:v>End of the World, Start of My Empire</x:v>
      </x:c>
      <x:c r="I85" s="15" t="str">
        <x:v>AIGC/animation-like candidate</x:v>
      </x:c>
      <x:c r="J85" s="15" t="str">
        <x:v>AIGC/Animation candidate</x:v>
      </x:c>
      <x:c r="K85" s="15" t="str">
        <x:v>Male / Power fantasy</x:v>
      </x:c>
      <x:c r="L85" s="15" t="str">
        <x:v>Post-Apocalypse / Gaming System / Empire Building</x:v>
      </x:c>
      <x:c r="M85" s="15" t="str">
        <x:v>Progression/spectacle</x:v>
      </x:c>
      <x:c r="N85" s="15" t="str">
        <x:v>첫 각성·첫 스킬만 보여주고 상위 보스/진짜 권위는 유료부로 이월</x:v>
      </x:c>
      <x:c r="O85" s="15" t="str">
        <x:v>High: VFX·세계관·시스템 UI·비현실 스케일을 직접 보상화</x:v>
      </x:c>
      <x:c r="P85" s="15" t="str">
        <x:v>아포칼립스 이후 게임·레벨업 시스템으로 제국을 세우는 남성향 판타지.</x:v>
      </x:c>
      <x:c r="Q85" s="15" t="str">
        <x:v>Fandom에서 post-apocalyptic, gaming, level-up system fantasy로 소개.</x:v>
      </x:c>
      <x:c r="R85" s="15" t="str">
        <x:v>Publication 2026-05-13; ReelShort YouTube channel also shows title.</x:v>
      </x:c>
      <x:c r="S85" s="15" t="str">
        <x:v>B / Useful verified</x:v>
      </x:c>
      <x:c r="T85" s="18" t="n">
        <x:v>73</x:v>
      </x:c>
      <x:c r="U85" s="15" t="str">
        <x:v>B_Strong</x:v>
      </x:c>
      <x:c r="V85" s="15" t="str">
        <x:v>KEEP</x:v>
      </x:c>
      <x:c r="W85" s="15" t="str"/>
      <x:c r="X85" s="15" t="str"/>
      <x:c r="Y85" s="15" t="str">
        <x:v>https://www.reelshort.com/fandom/?p=43701 | https://www.reelshort.com/movie-genres/all-movies</x:v>
      </x:c>
      <x:c r="Z85" s="15" t="str">
        <x:v>제작 AIGC 직접 표기 확인 필요.</x:v>
      </x:c>
    </x:row>
    <x:row r="86">
      <x:c r="A86" s="15" t="str">
        <x:v>L0085</x:v>
      </x:c>
      <x:c r="B86" s="15" t="str">
        <x:v>2026-05</x:v>
      </x:c>
      <x:c r="C86" s="15" t="str">
        <x:v>ReelShort</x:v>
      </x:c>
      <x:c r="D86" s="15" t="str">
        <x:v>Base_XLSX</x:v>
      </x:c>
      <x:c r="E86" s="15" t="n">
        <x:v>2</x:v>
      </x:c>
      <x:c r="F86" s="15" t="str">
        <x:v>Base only</x:v>
      </x:c>
      <x:c r="G86" s="15" t="str">
        <x:v>Kneel Or Die: My Demons, My Rules</x:v>
      </x:c>
      <x:c r="H86" s="15" t="str">
        <x:v>Kneel Or Die: My Demons, My Rules</x:v>
      </x:c>
      <x:c r="I86" s="15" t="str">
        <x:v>Animation/AIGC candidate</x:v>
      </x:c>
      <x:c r="J86" s="15" t="str">
        <x:v>AIGC/Animation candidate</x:v>
      </x:c>
      <x:c r="K86" s="15" t="str">
        <x:v>Male / Power fantasy</x:v>
      </x:c>
      <x:c r="L86" s="15" t="str">
        <x:v>Animation / Demons / Level-Up / Reverse-Harem-ish</x:v>
      </x:c>
      <x:c r="M86" s="15" t="str">
        <x:v>Progression/spectacle</x:v>
      </x:c>
      <x:c r="N86" s="15" t="str">
        <x:v>첫 각성·첫 스킬만 보여주고 상위 보스/진짜 권위는 유료부로 이월</x:v>
      </x:c>
      <x:c r="O86" s="15" t="str">
        <x:v>High: VFX·세계관·시스템 UI·비현실 스케일을 직접 보상화</x:v>
      </x:c>
      <x:c r="P86" s="15" t="str">
        <x:v>악마와 레벨업, 집사/권속 관계를 이용한 여성향 판타지 애니메이션형 타이틀.</x:v>
      </x:c>
      <x:c r="Q86" s="15" t="str">
        <x:v>Fandom title explicitly includes Animation; newly published.</x:v>
      </x:c>
      <x:c r="R86" s="15" t="str">
        <x:v>Publication May 2026.</x:v>
      </x:c>
      <x:c r="S86" s="15" t="str">
        <x:v>B / Useful verified</x:v>
      </x:c>
      <x:c r="T86" s="18" t="n">
        <x:v>73</x:v>
      </x:c>
      <x:c r="U86" s="15" t="str">
        <x:v>B_Strong</x:v>
      </x:c>
      <x:c r="V86" s="15" t="str">
        <x:v>KEEP</x:v>
      </x:c>
      <x:c r="W86" s="15" t="str"/>
      <x:c r="X86" s="15" t="str"/>
      <x:c r="Y86" s="15" t="str">
        <x:v>https://www.reelshort.com/fandom/kneel-or-die-my-demons-my-rules-dailymotion-01-8-3f8de524648b/</x:v>
      </x:c>
      <x:c r="Z86" s="15" t="str">
        <x:v>제작 AIGC 직접 표기 확인 필요.</x:v>
      </x:c>
    </x:row>
    <x:row r="87">
      <x:c r="A87" s="15" t="str">
        <x:v>L0086</x:v>
      </x:c>
      <x:c r="B87" s="15" t="str">
        <x:v>2026-05</x:v>
      </x:c>
      <x:c r="C87" s="15" t="str">
        <x:v>ReelShort</x:v>
      </x:c>
      <x:c r="D87" s="15" t="str">
        <x:v>Base_XLSX</x:v>
      </x:c>
      <x:c r="E87" s="15" t="n">
        <x:v>3</x:v>
      </x:c>
      <x:c r="F87" s="15" t="str">
        <x:v>Base only</x:v>
      </x:c>
      <x:c r="G87" s="15" t="str">
        <x:v>Runaway Single Mom Safe In His Arms</x:v>
      </x:c>
      <x:c r="H87" s="15" t="str">
        <x:v>Runaway Single Mom Safe In His Arms</x:v>
      </x:c>
      <x:c r="I87" s="15" t="str">
        <x:v>Live-action; AIGC not flagged</x:v>
      </x:c>
      <x:c r="J87" s="15" t="str">
        <x:v>Not flagged</x:v>
      </x:c>
      <x:c r="K87" s="15" t="str">
        <x:v>Female / Family-romance</x:v>
      </x:c>
      <x:c r="L87" s="15" t="str">
        <x:v>Runaway Single Mom / Protector Male Lead / Family Romance</x:v>
      </x:c>
      <x:c r="M87" s="15" t="str">
        <x:v>Child/family reunion</x:v>
      </x:c>
      <x:c r="N87" s="15" t="str">
        <x:v>무료부에서는 결핍과 예고, 유료부에서는 보상/진실/역전</x:v>
      </x:c>
      <x:c r="O87" s="15" t="str">
        <x:v>Medium: 아이/가족 감정은 직관화하되 섬세한 연기는 과신 금지</x:v>
      </x:c>
      <x:c r="P87" s="15" t="str">
        <x:v>도망친 싱글맘이 강한 보호자 남주에게 안전을 얻는 가족/로맨스.</x:v>
      </x:c>
      <x:c r="Q87" s="15" t="str">
        <x:v>Fandom book/movie guide 존재.</x:v>
      </x:c>
      <x:c r="R87" s="15" t="str">
        <x:v>Publication 2026-05-11.</x:v>
      </x:c>
      <x:c r="S87" s="15" t="str">
        <x:v>B / Useful verified</x:v>
      </x:c>
      <x:c r="T87" s="18" t="n">
        <x:v>73</x:v>
      </x:c>
      <x:c r="U87" s="15" t="str">
        <x:v>B_Strong</x:v>
      </x:c>
      <x:c r="V87" s="15" t="str">
        <x:v>KEEP</x:v>
      </x:c>
      <x:c r="W87" s="15" t="str"/>
      <x:c r="X87" s="15" t="str"/>
      <x:c r="Y87" s="15" t="str">
        <x:v>https://www.reelshort.com/fandom/?p=43496</x:v>
      </x:c>
      <x:c r="Z87" s="15" t="str"/>
    </x:row>
    <x:row r="88">
      <x:c r="A88" s="15" t="str">
        <x:v>L0087</x:v>
      </x:c>
      <x:c r="B88" s="15" t="str">
        <x:v>2026-05</x:v>
      </x:c>
      <x:c r="C88" s="15" t="str">
        <x:v>ReelShort</x:v>
      </x:c>
      <x:c r="D88" s="15" t="str">
        <x:v>Base+Supplement_DOCX</x:v>
      </x:c>
      <x:c r="E88" s="15" t="n">
        <x:v>4</x:v>
      </x:c>
      <x:c r="F88" s="15" t="str">
        <x:v>Merged / reinforced</x:v>
      </x:c>
      <x:c r="G88" s="15" t="str">
        <x:v>Love Under Fire</x:v>
      </x:c>
      <x:c r="H88" s="15" t="str">
        <x:v>Love Under Fire</x:v>
      </x:c>
      <x:c r="I88" s="15" t="str">
        <x:v>Live-action; AIGC not flagged</x:v>
      </x:c>
      <x:c r="J88" s="15" t="str">
        <x:v>Not flagged</x:v>
      </x:c>
      <x:c r="K88" s="15" t="str">
        <x:v>Female / Romance</x:v>
      </x:c>
      <x:c r="L88" s="15" t="str">
        <x:v>Action Romance / Under Fire / Military-ish</x:v>
      </x:c>
      <x:c r="M88" s="15" t="str">
        <x:v>Core melodrama hook</x:v>
      </x:c>
      <x:c r="N88" s="15" t="str">
        <x:v>무료부에서는 결핍과 예고, 유료부에서는 보상/진실/역전</x:v>
      </x:c>
      <x:c r="O88" s="15" t="str">
        <x:v>Medium: 광고 컷·후킹 이미지 보강용</x:v>
      </x:c>
      <x:c r="P88" s="15" t="str">
        <x:v>전쟁/총격/위험 상황에서 로맨스와 액션을 결합.</x:v>
      </x:c>
      <x:c r="Q88" s="15" t="str">
        <x:v>Fandom action quest article 존재.</x:v>
      </x:c>
      <x:c r="R88" s="15" t="str">
        <x:v>Publication 2026-05-13.</x:v>
      </x:c>
      <x:c r="S88" s="15" t="str">
        <x:v>A / Strong verified</x:v>
      </x:c>
      <x:c r="T88" s="18" t="n">
        <x:v>95</x:v>
      </x:c>
      <x:c r="U88" s="15" t="str">
        <x:v>A_Core</x:v>
      </x:c>
      <x:c r="V88" s="15" t="str">
        <x:v>MERGE_REINFORCE</x:v>
      </x:c>
      <x:c r="W88" s="15" t="str"/>
      <x:c r="X88" s="15" t="str">
        <x:v>보강자료 일치: 커뮤니티에서는 “영국에서 링크를 구할 수 없냐”는 요청형 대화가 바로 생겼고, ReelShort 검색계열엔 406.4k·12k가 노출됐다. 추정 성과는 론칭 초반 관심형.</x:v>
      </x:c>
      <x:c r="Y88" s="15" t="str">
        <x:v>https://www.reelshort.com/fandom/shane-halstead-and-aria-meep-01-6-93fb5cb97a73/
https://www.reelshort.com/fandom/love-under-fire-cast-01-2-93fb5cb97a73/
https://www.reddit.com/r/ReelShorts/comments/1ss4460/love_under_fire/</x:v>
      </x:c>
      <x:c r="Z88" s="15" t="str"/>
    </x:row>
    <x:row r="89">
      <x:c r="A89" s="15" t="str">
        <x:v>L0088</x:v>
      </x:c>
      <x:c r="B89" s="15" t="str">
        <x:v>2026-05</x:v>
      </x:c>
      <x:c r="C89" s="15" t="str">
        <x:v>ReelShort</x:v>
      </x:c>
      <x:c r="D89" s="15" t="str">
        <x:v>Base_XLSX</x:v>
      </x:c>
      <x:c r="E89" s="15" t="n">
        <x:v>5</x:v>
      </x:c>
      <x:c r="F89" s="15" t="str">
        <x:v>Base only</x:v>
      </x:c>
      <x:c r="G89" s="15" t="str">
        <x:v>Bite to the Top</x:v>
      </x:c>
      <x:c r="H89" s="15" t="str">
        <x:v>Bite to the Top</x:v>
      </x:c>
      <x:c r="I89" s="15" t="str">
        <x:v>AIGC/animation-like candidate</x:v>
      </x:c>
      <x:c r="J89" s="15" t="str">
        <x:v>AIGC/Animation candidate</x:v>
      </x:c>
      <x:c r="K89" s="15" t="str">
        <x:v>Mixed / General</x:v>
      </x:c>
      <x:c r="L89" s="15" t="str">
        <x:v>Monster Rebirth / Devour Growth / Academy Beauty</x:v>
      </x:c>
      <x:c r="M89" s="15" t="str">
        <x:v>Core melodrama hook</x:v>
      </x:c>
      <x:c r="N89" s="15" t="str">
        <x:v>무료부에서는 결핍과 예고, 유료부에서는 보상/진실/역전</x:v>
      </x:c>
      <x:c r="O89" s="15" t="str">
        <x:v>High: VFX·세계관·시스템 UI·비현실 스케일을 직접 보상화</x:v>
      </x:c>
      <x:c r="P89" s="15" t="str">
        <x:v>벼룩으로 깨어난 남자가 피를 빨수록 강해지는 포식 성장 판타지.</x:v>
      </x:c>
      <x:c r="Q89" s="15" t="str">
        <x:v>공식 All Movies 기준 284.6K views, 8.8K likes.</x:v>
      </x:c>
      <x:c r="R89" s="15" t="str">
        <x:v>Official all-movies signal.</x:v>
      </x:c>
      <x:c r="S89" s="15" t="str">
        <x:v>A / Strong verified</x:v>
      </x:c>
      <x:c r="T89" s="18" t="n">
        <x:v>96</x:v>
      </x:c>
      <x:c r="U89" s="15" t="str">
        <x:v>A_Core</x:v>
      </x:c>
      <x:c r="V89" s="15" t="str">
        <x:v>KEEP</x:v>
      </x:c>
      <x:c r="W89" s="15" t="str"/>
      <x:c r="X89" s="15" t="str"/>
      <x:c r="Y89" s="15" t="str">
        <x:v>https://www.reelshort.com/movie-genres/all-movies</x:v>
      </x:c>
      <x:c r="Z89" s="15" t="str">
        <x:v>제작 AIGC 직접 표기 확인 필요.</x:v>
      </x:c>
    </x:row>
    <x:row r="90">
      <x:c r="A90" s="15" t="str">
        <x:v>L0089</x:v>
      </x:c>
      <x:c r="B90" s="15" t="str">
        <x:v>2025-06</x:v>
      </x:c>
      <x:c r="C90" s="15" t="str">
        <x:v>DramaBox</x:v>
      </x:c>
      <x:c r="D90" s="15" t="str">
        <x:v>Base_XLSX</x:v>
      </x:c>
      <x:c r="E90" s="15" t="n">
        <x:v>1</x:v>
      </x:c>
      <x:c r="F90" s="15" t="str">
        <x:v>Base only</x:v>
      </x:c>
      <x:c r="G90" s="15" t="str">
        <x:v>Divorced at the Wedding Day</x:v>
      </x:c>
      <x:c r="H90" s="15" t="str">
        <x:v>Divorced at the Wedding Day</x:v>
      </x:c>
      <x:c r="I90" s="15" t="str">
        <x:v>Live-action/dubbed; AIGC not flagged</x:v>
      </x:c>
      <x:c r="J90" s="15" t="str">
        <x:v>Not flagged</x:v>
      </x:c>
      <x:c r="K90" s="15" t="str">
        <x:v>Family regret / mixed</x:v>
      </x:c>
      <x:c r="L90" s="15" t="str">
        <x:v>Wedding Divorce / Family Bonds / Betrayal</x:v>
      </x:c>
      <x:c r="M90" s="15" t="str">
        <x:v>Revenge/regret payoff + Child/family reunion</x:v>
      </x:c>
      <x:c r="N90" s="15" t="str">
        <x:v>굴욕/배신 후 첫 반격을 예고하고 본격 응징은 지연</x:v>
      </x:c>
      <x:c r="O90" s="15" t="str">
        <x:v>Medium: 아이/가족 감정은 직관화하되 섬세한 연기는 과신 금지</x:v>
      </x:c>
      <x:c r="P90" s="15" t="str">
        <x:v>결혼식 당일 이혼·가족 약속·배신을 밀어붙이는 가족/로맨스극.</x:v>
      </x:c>
      <x:c r="Q90" s="15" t="str">
        <x:v>DramaBoxDB critique and cast articles exist.</x:v>
      </x:c>
      <x:c r="R90" s="15" t="str">
        <x:v>2025-06-10; 2K+ page view signal.</x:v>
      </x:c>
      <x:c r="S90" s="15" t="str">
        <x:v>A / Strong verified</x:v>
      </x:c>
      <x:c r="T90" s="18" t="n">
        <x:v>90</x:v>
      </x:c>
      <x:c r="U90" s="15" t="str">
        <x:v>A_Core</x:v>
      </x:c>
      <x:c r="V90" s="15" t="str">
        <x:v>KEEP</x:v>
      </x:c>
      <x:c r="W90" s="15" t="str"/>
      <x:c r="X90" s="15" t="str"/>
      <x:c r="Y90" s="15" t="str">
        <x:v>https://www.dramaboxdb.com/content/critique/4786_divorced-at-the-wedding-day-full-episode</x:v>
      </x:c>
      <x:c r="Z90" s="15" t="str"/>
    </x:row>
    <x:row r="91">
      <x:c r="A91" s="15" t="str">
        <x:v>L0090</x:v>
      </x:c>
      <x:c r="B91" s="15" t="str">
        <x:v>2025-06</x:v>
      </x:c>
      <x:c r="C91" s="15" t="str">
        <x:v>DramaBox</x:v>
      </x:c>
      <x:c r="D91" s="15" t="str">
        <x:v>Base_XLSX</x:v>
      </x:c>
      <x:c r="E91" s="15" t="n">
        <x:v>2</x:v>
      </x:c>
      <x:c r="F91" s="15" t="str">
        <x:v>Base only</x:v>
      </x:c>
      <x:c r="G91" s="15" t="str">
        <x:v>I Wish It Were You</x:v>
      </x:c>
      <x:c r="H91" s="15" t="str">
        <x:v>I Wish It Were You</x:v>
      </x:c>
      <x:c r="I91" s="15" t="str">
        <x:v>Live-action/dubbed; AIGC not flagged</x:v>
      </x:c>
      <x:c r="J91" s="15" t="str">
        <x:v>Not flagged</x:v>
      </x:c>
      <x:c r="K91" s="15" t="str">
        <x:v>Female / Romance</x:v>
      </x:c>
      <x:c r="L91" s="15" t="str">
        <x:v>Arranged Marriage / Mafia-ish / Second Chance</x:v>
      </x:c>
      <x:c r="M91" s="15" t="str">
        <x:v>High-status partner/authority</x:v>
      </x:c>
      <x:c r="N91" s="15" t="str">
        <x:v>강한 케미·보호/소유 신호를 주되 감정 확정은 지연</x:v>
      </x:c>
      <x:c r="O91" s="15" t="str">
        <x:v>Medium-High: 압도적 외모·의상·공간 미감으로 실사형 보상 강화</x:v>
      </x:c>
      <x:c r="P91" s="15" t="str">
        <x:v>가문 동맹으로 원치 않는 결혼을 한 여성이 진짜 사랑/정체를 찾아가는 로맨스.</x:v>
      </x:c>
      <x:c r="Q91" s="15" t="str">
        <x:v>Reddit에서 무료 시청 링크 문의가 활성화.</x:v>
      </x:c>
      <x:c r="R91" s="15" t="str">
        <x:v>Reddit/free-link search indicates demand.</x:v>
      </x:c>
      <x:c r="S91" s="15" t="str">
        <x:v>C / Watch</x:v>
      </x:c>
      <x:c r="T91" s="18" t="n">
        <x:v>65</x:v>
      </x:c>
      <x:c r="U91" s="15" t="str">
        <x:v>C_Watch</x:v>
      </x:c>
      <x:c r="V91" s="15" t="str">
        <x:v>KEEP</x:v>
      </x:c>
      <x:c r="W91" s="15" t="str"/>
      <x:c r="X91" s="15" t="str"/>
      <x:c r="Y91" s="15" t="str">
        <x:v>https://www.reddit.com/r/dramabox/comments/1bz3b3j/i_wish_it_were_you_dramabox/</x:v>
      </x:c>
      <x:c r="Z91" s="15" t="str">
        <x:v>공식 성과/광고 집행량 재확인.</x:v>
      </x:c>
    </x:row>
    <x:row r="92">
      <x:c r="A92" s="15" t="str">
        <x:v>L0091</x:v>
      </x:c>
      <x:c r="B92" s="15" t="str">
        <x:v>2025-06</x:v>
      </x:c>
      <x:c r="C92" s="15" t="str">
        <x:v>DramaBox</x:v>
      </x:c>
      <x:c r="D92" s="15" t="str">
        <x:v>Base_XLSX</x:v>
      </x:c>
      <x:c r="E92" s="15" t="n">
        <x:v>3</x:v>
      </x:c>
      <x:c r="F92" s="15" t="str">
        <x:v>Base only</x:v>
      </x:c>
      <x:c r="G92" s="15" t="str">
        <x:v>Bound by a Family Alliance / I Wish It Were You</x:v>
      </x:c>
      <x:c r="H92" s="15" t="str">
        <x:v>Bound by a Family Alliance / I Wish It Were You</x:v>
      </x:c>
      <x:c r="I92" s="15" t="str">
        <x:v>Live-action/dubbed; AIGC not flagged</x:v>
      </x:c>
      <x:c r="J92" s="15" t="str">
        <x:v>Not flagged</x:v>
      </x:c>
      <x:c r="K92" s="15" t="str">
        <x:v>Female / Family-romance</x:v>
      </x:c>
      <x:c r="L92" s="15" t="str">
        <x:v>Arranged Marriage / Romance Drama</x:v>
      </x:c>
      <x:c r="M92" s="15" t="str">
        <x:v>Core melodrama hook</x:v>
      </x:c>
      <x:c r="N92" s="15" t="str">
        <x:v>무료부에서는 결핍과 예고, 유료부에서는 보상/진실/역전</x:v>
      </x:c>
      <x:c r="O92" s="15" t="str">
        <x:v>Medium: 아이/가족 감정은 직관화하되 섬세한 연기는 과신 금지</x:v>
      </x:c>
      <x:c r="P92" s="15" t="str">
        <x:v>Isabel과 Lorenzo 중심의 정략결혼 로맨스.</x:v>
      </x:c>
      <x:c r="Q92" s="15" t="str">
        <x:v>Facebook/YouTube 무료·풀무비 검색 노출.</x:v>
      </x:c>
      <x:c r="R92" s="15" t="str">
        <x:v>DramaBox social signal.</x:v>
      </x:c>
      <x:c r="S92" s="15" t="str">
        <x:v>D / Needs verification</x:v>
      </x:c>
      <x:c r="T92" s="18" t="n">
        <x:v>46</x:v>
      </x:c>
      <x:c r="U92" s="15" t="str">
        <x:v>D_Verify</x:v>
      </x:c>
      <x:c r="V92" s="15" t="str">
        <x:v>POSSIBLE_REPLACE_BY_SUPPLEMENT</x:v>
      </x:c>
      <x:c r="W92" s="15" t="str">
        <x:v>Honey, Guess Who’s the REAL BOSS</x:v>
      </x:c>
      <x:c r="X92" s="15" t="str">
        <x:v>동월·동플랫폼 보강자료 후보가 있고, 현행 행의 confidence가 Low라 교체 후보.</x:v>
      </x:c>
      <x:c r="Y92" s="15" t="str">
        <x:v>https://www.dramaboxdb.com/</x:v>
      </x:c>
      <x:c r="Z92" s="15" t="str">
        <x:v>공식 성과/광고 집행량 재확인.</x:v>
      </x:c>
    </x:row>
    <x:row r="93">
      <x:c r="A93" s="15" t="str">
        <x:v>L0092</x:v>
      </x:c>
      <x:c r="B93" s="15" t="str">
        <x:v>2025-07</x:v>
      </x:c>
      <x:c r="C93" s="15" t="str">
        <x:v>DramaBox</x:v>
      </x:c>
      <x:c r="D93" s="15" t="str">
        <x:v>Base_XLSX</x:v>
      </x:c>
      <x:c r="E93" s="15" t="n">
        <x:v>1</x:v>
      </x:c>
      <x:c r="F93" s="15" t="str">
        <x:v>Base only</x:v>
      </x:c>
      <x:c r="G93" s="15" t="str">
        <x:v>Unwanted True Mate</x:v>
      </x:c>
      <x:c r="H93" s="15" t="str">
        <x:v>Unwanted True Mate</x:v>
      </x:c>
      <x:c r="I93" s="15" t="str">
        <x:v>Live-action/dubbed; AIGC not flagged</x:v>
      </x:c>
      <x:c r="J93" s="15" t="str">
        <x:v>Not flagged</x:v>
      </x:c>
      <x:c r="K93" s="15" t="str">
        <x:v>Female / Romance</x:v>
      </x:c>
      <x:c r="L93" s="15" t="str">
        <x:v>Werewolf / True Mate / Heritage Reveal</x:v>
      </x:c>
      <x:c r="M93" s="15" t="str">
        <x:v>Core melodrama hook</x:v>
      </x:c>
      <x:c r="N93" s="15" t="str">
        <x:v>무료부에서는 결핍과 예고, 유료부에서는 보상/진실/역전</x:v>
      </x:c>
      <x:c r="O93" s="15" t="str">
        <x:v>Medium: 광고 컷·후킹 이미지 보강용</x:v>
      </x:c>
      <x:c r="P93" s="15" t="str">
        <x:v>사랑을 빼앗기고 혈통이 드러난 여성이 mate/유산을 되찾는 werewolf romance.</x:v>
      </x:c>
      <x:c r="Q93" s="15" t="str">
        <x:v>DramaBoxDB에서 raw werewolf romance로 소개.</x:v>
      </x:c>
      <x:c r="R93" s="15" t="str">
        <x:v>Publication 2025-07-10.</x:v>
      </x:c>
      <x:c r="S93" s="15" t="str">
        <x:v>C / Watch</x:v>
      </x:c>
      <x:c r="T93" s="18" t="n">
        <x:v>63</x:v>
      </x:c>
      <x:c r="U93" s="15" t="str">
        <x:v>C_Watch</x:v>
      </x:c>
      <x:c r="V93" s="15" t="str">
        <x:v>KEEP</x:v>
      </x:c>
      <x:c r="W93" s="15" t="str"/>
      <x:c r="X93" s="15" t="str"/>
      <x:c r="Y93" s="15" t="str">
        <x:v>https://www.dramaboxdb.com/content/critique/4815_unwanted-true-mate-actors</x:v>
      </x:c>
      <x:c r="Z93" s="15" t="str">
        <x:v>공식 성과/광고 집행량 재확인.</x:v>
      </x:c>
    </x:row>
    <x:row r="94">
      <x:c r="A94" s="15" t="str">
        <x:v>L0093</x:v>
      </x:c>
      <x:c r="B94" s="15" t="str">
        <x:v>2025-07</x:v>
      </x:c>
      <x:c r="C94" s="15" t="str">
        <x:v>DramaBox</x:v>
      </x:c>
      <x:c r="D94" s="15" t="str">
        <x:v>Base_XLSX</x:v>
      </x:c>
      <x:c r="E94" s="15" t="n">
        <x:v>2</x:v>
      </x:c>
      <x:c r="F94" s="15" t="str">
        <x:v>Base only</x:v>
      </x:c>
      <x:c r="G94" s="15" t="str">
        <x:v>Second Chance With Mafia Lover</x:v>
      </x:c>
      <x:c r="H94" s="15" t="str">
        <x:v>Second Chance With Mafia Lover</x:v>
      </x:c>
      <x:c r="I94" s="15" t="str">
        <x:v>Live-action/dubbed; AIGC not flagged</x:v>
      </x:c>
      <x:c r="J94" s="15" t="str">
        <x:v>Not flagged</x:v>
      </x:c>
      <x:c r="K94" s="15" t="str">
        <x:v>Female / Romance</x:v>
      </x:c>
      <x:c r="L94" s="15" t="str">
        <x:v>Mafia Romance / Second Chance / Redemption</x:v>
      </x:c>
      <x:c r="M94" s="15" t="str">
        <x:v>High-status partner/authority</x:v>
      </x:c>
      <x:c r="N94" s="15" t="str">
        <x:v>강한 케미·보호/소유 신호를 주되 감정 확정은 지연</x:v>
      </x:c>
      <x:c r="O94" s="15" t="str">
        <x:v>Medium-High: 압도적 외모·의상·공간 미감으로 실사형 보상 강화</x:v>
      </x:c>
      <x:c r="P94" s="15" t="str">
        <x:v>마피아 세계의 사랑·충성·구원이 충돌하는 고위험 로맨스.</x:v>
      </x:c>
      <x:c r="Q94" s="15" t="str">
        <x:v>DramaBoxDB review title: high-stakes mafia romance.</x:v>
      </x:c>
      <x:c r="R94" s="15" t="str">
        <x:v>Publication 2025-07-14.</x:v>
      </x:c>
      <x:c r="S94" s="15" t="str">
        <x:v>C / Watch</x:v>
      </x:c>
      <x:c r="T94" s="18" t="n">
        <x:v>63</x:v>
      </x:c>
      <x:c r="U94" s="15" t="str">
        <x:v>C_Watch</x:v>
      </x:c>
      <x:c r="V94" s="15" t="str">
        <x:v>KEEP</x:v>
      </x:c>
      <x:c r="W94" s="15" t="str"/>
      <x:c r="X94" s="15" t="str"/>
      <x:c r="Y94" s="15" t="str">
        <x:v>https://www.dramaboxdb.com/content/critique/4821_second-chance-with-mafia-lover-dailymotion</x:v>
      </x:c>
      <x:c r="Z94" s="15" t="str">
        <x:v>공식 성과/광고 집행량 재확인.</x:v>
      </x:c>
    </x:row>
    <x:row r="95">
      <x:c r="A95" s="15" t="str">
        <x:v>L0094</x:v>
      </x:c>
      <x:c r="B95" s="15" t="str">
        <x:v>2025-07</x:v>
      </x:c>
      <x:c r="C95" s="15" t="str">
        <x:v>DramaBox</x:v>
      </x:c>
      <x:c r="D95" s="15" t="str">
        <x:v>Base_XLSX</x:v>
      </x:c>
      <x:c r="E95" s="15" t="n">
        <x:v>3</x:v>
      </x:c>
      <x:c r="F95" s="15" t="str">
        <x:v>Base only</x:v>
      </x:c>
      <x:c r="G95" s="15" t="str">
        <x:v>Don't Miss Me When I'm Gone</x:v>
      </x:c>
      <x:c r="H95" s="15" t="str">
        <x:v>Don't Miss Me When I'm Gone</x:v>
      </x:c>
      <x:c r="I95" s="15" t="str">
        <x:v>Live-action/dubbed; AIGC not flagged</x:v>
      </x:c>
      <x:c r="J95" s="15" t="str">
        <x:v>Not flagged</x:v>
      </x:c>
      <x:c r="K95" s="15" t="str">
        <x:v>Family regret / mixed</x:v>
      </x:c>
      <x:c r="L95" s="15" t="str">
        <x:v>Family Regret / Heroine Escape</x:v>
      </x:c>
      <x:c r="M95" s="15" t="str">
        <x:v>Revenge/regret payoff + Child/family reunion</x:v>
      </x:c>
      <x:c r="N95" s="15" t="str">
        <x:v>굴욕/배신 후 첫 반격을 예고하고 본격 응징은 지연</x:v>
      </x:c>
      <x:c r="O95" s="15" t="str">
        <x:v>Medium: 아이/가족 감정은 직관화하되 섬세한 연기는 과신 금지</x:v>
      </x:c>
      <x:c r="P95" s="15" t="str">
        <x:v>여주가 떠난 뒤 가족/남주가 뒤늦게 후회하는 all-too-late 구조.</x:v>
      </x:c>
      <x:c r="Q95" s="15" t="str">
        <x:v>DramaBoxDB family list에 2025-07-29 노출.</x:v>
      </x:c>
      <x:c r="R95" s="15" t="str">
        <x:v>List/recommendation signal.</x:v>
      </x:c>
      <x:c r="S95" s="15" t="str">
        <x:v>D / Needs verification</x:v>
      </x:c>
      <x:c r="T95" s="18" t="n">
        <x:v>46</x:v>
      </x:c>
      <x:c r="U95" s="15" t="str">
        <x:v>D_Verify</x:v>
      </x:c>
      <x:c r="V95" s="15" t="str">
        <x:v>POSSIBLE_REPLACE_BY_SUPPLEMENT</x:v>
      </x:c>
      <x:c r="W95" s="15" t="str">
        <x:v>Reborn To Love Alpha King</x:v>
      </x:c>
      <x:c r="X95" s="15" t="str">
        <x:v>동월·동플랫폼 보강자료 후보가 있고, 현행 행의 confidence가 Low라 교체 후보.</x:v>
      </x:c>
      <x:c r="Y95" s="15" t="str">
        <x:v>https://www.dramaboxdb.com/</x:v>
      </x:c>
      <x:c r="Z95" s="15" t="str">
        <x:v>공식 성과/광고 집행량 재확인.</x:v>
      </x:c>
    </x:row>
    <x:row r="96">
      <x:c r="A96" s="15" t="str">
        <x:v>L0095</x:v>
      </x:c>
      <x:c r="B96" s="15" t="str">
        <x:v>2025-08</x:v>
      </x:c>
      <x:c r="C96" s="15" t="str">
        <x:v>DramaBox</x:v>
      </x:c>
      <x:c r="D96" s="15" t="str">
        <x:v>Base_XLSX</x:v>
      </x:c>
      <x:c r="E96" s="15" t="n">
        <x:v>1</x:v>
      </x:c>
      <x:c r="F96" s="15" t="str">
        <x:v>Base only</x:v>
      </x:c>
      <x:c r="G96" s="15" t="str">
        <x:v>Miss You After Goodbye</x:v>
      </x:c>
      <x:c r="H96" s="15" t="str">
        <x:v>Miss You After Goodbye</x:v>
      </x:c>
      <x:c r="I96" s="15" t="str">
        <x:v>Live-action/dubbed; AIGC not flagged</x:v>
      </x:c>
      <x:c r="J96" s="15" t="str">
        <x:v>Not flagged</x:v>
      </x:c>
      <x:c r="K96" s="15" t="str">
        <x:v>Female / Family-romance</x:v>
      </x:c>
      <x:c r="L96" s="15" t="str">
        <x:v>Bitter Love / Goodbye / Regret</x:v>
      </x:c>
      <x:c r="M96" s="15" t="str">
        <x:v>Revenge/regret payoff + Child/family reunion</x:v>
      </x:c>
      <x:c r="N96" s="15" t="str">
        <x:v>굴욕/배신 후 첫 반격을 예고하고 본격 응징은 지연</x:v>
      </x:c>
      <x:c r="O96" s="15" t="str">
        <x:v>Medium: 아이/가족 감정은 직관화하되 섬세한 연기는 과신 금지</x:v>
      </x:c>
      <x:c r="P96" s="15" t="str">
        <x:v>이별 후 인간관계·후회·수업/가족 갈등을 이어가는 bitter love drama.</x:v>
      </x:c>
      <x:c r="Q96" s="15" t="str">
        <x:v>다수 episode recap가 같은 날짜에 노출.</x:v>
      </x:c>
      <x:c r="R96" s="15" t="str">
        <x:v>2025-08-22; multiple episode page signals.</x:v>
      </x:c>
      <x:c r="S96" s="15" t="str">
        <x:v>C / Watch</x:v>
      </x:c>
      <x:c r="T96" s="18" t="n">
        <x:v>63</x:v>
      </x:c>
      <x:c r="U96" s="15" t="str">
        <x:v>C_Watch</x:v>
      </x:c>
      <x:c r="V96" s="15" t="str">
        <x:v>KEEP</x:v>
      </x:c>
      <x:c r="W96" s="15" t="str"/>
      <x:c r="X96" s="15" t="str"/>
      <x:c r="Y96" s="15" t="str">
        <x:v>https://www.dramaboxdb.com/content/critique/4995_miss-you-after-goodbye-episode-24</x:v>
      </x:c>
      <x:c r="Z96" s="15" t="str">
        <x:v>공식 성과/광고 집행량 재확인.</x:v>
      </x:c>
    </x:row>
    <x:row r="97">
      <x:c r="A97" s="15" t="str">
        <x:v>L0096</x:v>
      </x:c>
      <x:c r="B97" s="15" t="str">
        <x:v>2025-08</x:v>
      </x:c>
      <x:c r="C97" s="15" t="str">
        <x:v>DramaBox</x:v>
      </x:c>
      <x:c r="D97" s="15" t="str">
        <x:v>Base_XLSX</x:v>
      </x:c>
      <x:c r="E97" s="15" t="n">
        <x:v>2</x:v>
      </x:c>
      <x:c r="F97" s="15" t="str">
        <x:v>Base only</x:v>
      </x:c>
      <x:c r="G97" s="15" t="str">
        <x:v>Mafia's Good Girl</x:v>
      </x:c>
      <x:c r="H97" s="15" t="str">
        <x:v>Mafia's Good Girl</x:v>
      </x:c>
      <x:c r="I97" s="15" t="str">
        <x:v>Live-action/dubbed; AIGC not flagged</x:v>
      </x:c>
      <x:c r="J97" s="15" t="str">
        <x:v>Not flagged</x:v>
      </x:c>
      <x:c r="K97" s="15" t="str">
        <x:v>Female / Romance</x:v>
      </x:c>
      <x:c r="L97" s="15" t="str">
        <x:v>Mafia / Contract / Survival Romance</x:v>
      </x:c>
      <x:c r="M97" s="15" t="str">
        <x:v>High-status partner/authority</x:v>
      </x:c>
      <x:c r="N97" s="15" t="str">
        <x:v>강한 케미·보호/소유 신호를 주되 감정 확정은 지연</x:v>
      </x:c>
      <x:c r="O97" s="15" t="str">
        <x:v>Medium-High: 압도적 외모·의상·공간 미감으로 실사형 보상 강화</x:v>
      </x:c>
      <x:c r="P97" s="15" t="str">
        <x:v>마피아 킹에게 납치된 여성이 계약/생존/감정 긴장을 겪는 dark romance.</x:v>
      </x:c>
      <x:c r="Q97" s="15" t="str">
        <x:v>DramaBoxDB에서 rollercoaster/intense romance로 소개.</x:v>
      </x:c>
      <x:c r="R97" s="15" t="str">
        <x:v>Publication 2025-08~09 signal.</x:v>
      </x:c>
      <x:c r="S97" s="15" t="str">
        <x:v>C / Watch</x:v>
      </x:c>
      <x:c r="T97" s="18" t="n">
        <x:v>63</x:v>
      </x:c>
      <x:c r="U97" s="15" t="str">
        <x:v>C_Watch</x:v>
      </x:c>
      <x:c r="V97" s="15" t="str">
        <x:v>KEEP</x:v>
      </x:c>
      <x:c r="W97" s="15" t="str"/>
      <x:c r="X97" s="15" t="str"/>
      <x:c r="Y97" s="15" t="str">
        <x:v>https://www.dramaboxdb.com/content/critique/5283_mafias-good-girl-dramabox-full-episodes</x:v>
      </x:c>
      <x:c r="Z97" s="15" t="str">
        <x:v>공식 성과/광고 집행량 재확인.</x:v>
      </x:c>
    </x:row>
    <x:row r="98">
      <x:c r="A98" s="15" t="str">
        <x:v>L0097</x:v>
      </x:c>
      <x:c r="B98" s="15" t="str">
        <x:v>2025-08</x:v>
      </x:c>
      <x:c r="C98" s="15" t="str">
        <x:v>DramaBox</x:v>
      </x:c>
      <x:c r="D98" s="15" t="str">
        <x:v>Base_XLSX</x:v>
      </x:c>
      <x:c r="E98" s="15" t="n">
        <x:v>3</x:v>
      </x:c>
      <x:c r="F98" s="15" t="str">
        <x:v>Base only</x:v>
      </x:c>
      <x:c r="G98" s="15" t="str">
        <x:v>Forever After, Never Again</x:v>
      </x:c>
      <x:c r="H98" s="15" t="str">
        <x:v>Forever After, Never Again</x:v>
      </x:c>
      <x:c r="I98" s="15" t="str">
        <x:v>Live-action/dubbed; AIGC not flagged</x:v>
      </x:c>
      <x:c r="J98" s="15" t="str">
        <x:v>Not flagged</x:v>
      </x:c>
      <x:c r="K98" s="15" t="str">
        <x:v>Female / Family-romance</x:v>
      </x:c>
      <x:c r="L98" s="15" t="str">
        <x:v>Bodyguard / Comatose Husband / Betrayal</x:v>
      </x:c>
      <x:c r="M98" s="15" t="str">
        <x:v>Revenge/regret payoff + Child/family reunion</x:v>
      </x:c>
      <x:c r="N98" s="15" t="str">
        <x:v>굴욕/배신 후 첫 반격을 예고하고 본격 응징은 지연</x:v>
      </x:c>
      <x:c r="O98" s="15" t="str">
        <x:v>Medium: 아이/가족 감정은 직관화하되 섬세한 연기는 과신 금지</x:v>
      </x:c>
      <x:c r="P98" s="15" t="str">
        <x:v>의붓가족과 보디가드·혼수상태 남편을 엮은 배신/결혼 멜로.</x:v>
      </x:c>
      <x:c r="Q98" s="15" t="str">
        <x:v>DramaBoxDB English-version review 존재.</x:v>
      </x:c>
      <x:c r="R98" s="15" t="str">
        <x:v>Publication around 2025-08 signal.</x:v>
      </x:c>
      <x:c r="S98" s="15" t="str">
        <x:v>D / Needs verification</x:v>
      </x:c>
      <x:c r="T98" s="18" t="n">
        <x:v>46</x:v>
      </x:c>
      <x:c r="U98" s="15" t="str">
        <x:v>D_Verify</x:v>
      </x:c>
      <x:c r="V98" s="15" t="str">
        <x:v>POSSIBLE_REPLACE_BY_SUPPLEMENT</x:v>
      </x:c>
      <x:c r="W98" s="15" t="str">
        <x:v>Summer Honeymoon with My Secret Billionaire</x:v>
      </x:c>
      <x:c r="X98" s="15" t="str">
        <x:v>동월·동플랫폼 보강자료 후보가 있고, 현행 행의 confidence가 Low라 교체 후보.</x:v>
      </x:c>
      <x:c r="Y98" s="15" t="str">
        <x:v>https://www.dramaboxdb.com/</x:v>
      </x:c>
      <x:c r="Z98" s="15" t="str">
        <x:v>공식 성과/광고 집행량 재확인.</x:v>
      </x:c>
    </x:row>
    <x:row r="99">
      <x:c r="A99" s="15" t="str">
        <x:v>L0098</x:v>
      </x:c>
      <x:c r="B99" s="15" t="str">
        <x:v>2025-09</x:v>
      </x:c>
      <x:c r="C99" s="15" t="str">
        <x:v>DramaBox</x:v>
      </x:c>
      <x:c r="D99" s="15" t="str">
        <x:v>Base_XLSX</x:v>
      </x:c>
      <x:c r="E99" s="15" t="n">
        <x:v>1</x:v>
      </x:c>
      <x:c r="F99" s="15" t="str">
        <x:v>Base only</x:v>
      </x:c>
      <x:c r="G99" s="15" t="str">
        <x:v>Love Is a Game, I Play for Power</x:v>
      </x:c>
      <x:c r="H99" s="15" t="str">
        <x:v>Love Is a Game, I Play for Power</x:v>
      </x:c>
      <x:c r="I99" s="15" t="str">
        <x:v>Live-action/dubbed; AIGC not flagged</x:v>
      </x:c>
      <x:c r="J99" s="15" t="str">
        <x:v>Not flagged</x:v>
      </x:c>
      <x:c r="K99" s="15" t="str">
        <x:v>Female / Romance</x:v>
      </x:c>
      <x:c r="L99" s="15" t="str">
        <x:v>Switched at Birth / Strong Female Lead / Revenge</x:v>
      </x:c>
      <x:c r="M99" s="15" t="str">
        <x:v>Hidden-identity reveal + Revenge/regret payoff</x:v>
      </x:c>
      <x:c r="N99" s="15" t="str">
        <x:v>정체/권력 공개 직전까지 결핍·오해를 누적</x:v>
      </x:c>
      <x:c r="O99" s="15" t="str">
        <x:v>Medium: 광고 컷·후킹 이미지 보강용</x:v>
      </x:c>
      <x:c r="P99" s="15" t="str">
        <x:v>출생이 바뀐 시골 소녀 Ruby가 부유한 Wright가로 돌아와 권력 게임을 벌임.</x:v>
      </x:c>
      <x:c r="Q99" s="15" t="str">
        <x:v>DramaBoxDB에서 검색어 상승·short format 적합성 언급.</x:v>
      </x:c>
      <x:c r="R99" s="15" t="str">
        <x:v>2025-09-15; long review and power/revenge analysis.</x:v>
      </x:c>
      <x:c r="S99" s="15" t="str">
        <x:v>B / Useful verified</x:v>
      </x:c>
      <x:c r="T99" s="18" t="n">
        <x:v>78</x:v>
      </x:c>
      <x:c r="U99" s="15" t="str">
        <x:v>B_Strong</x:v>
      </x:c>
      <x:c r="V99" s="15" t="str">
        <x:v>KEEP</x:v>
      </x:c>
      <x:c r="W99" s="15" t="str"/>
      <x:c r="X99" s="15" t="str"/>
      <x:c r="Y99" s="15" t="str">
        <x:v>https://www.dramaboxdb.com/content/critique/5162_love-is-a-game-i-play-for-power-chinese-drama</x:v>
      </x:c>
      <x:c r="Z99" s="15" t="str"/>
    </x:row>
    <x:row r="100">
      <x:c r="A100" s="15" t="str">
        <x:v>L0099</x:v>
      </x:c>
      <x:c r="B100" s="15" t="str">
        <x:v>2025-09</x:v>
      </x:c>
      <x:c r="C100" s="15" t="str">
        <x:v>DramaBox</x:v>
      </x:c>
      <x:c r="D100" s="15" t="str">
        <x:v>Base_XLSX</x:v>
      </x:c>
      <x:c r="E100" s="15" t="n">
        <x:v>2</x:v>
      </x:c>
      <x:c r="F100" s="15" t="str">
        <x:v>Base only</x:v>
      </x:c>
      <x:c r="G100" s="15" t="str">
        <x:v>Knocked Up by the Silver Fox Alpha</x:v>
      </x:c>
      <x:c r="H100" s="15" t="str">
        <x:v>Knocked Up by the Silver Fox Alpha</x:v>
      </x:c>
      <x:c r="I100" s="15" t="str">
        <x:v>Live-action/dubbed; AIGC not flagged</x:v>
      </x:c>
      <x:c r="J100" s="15" t="str">
        <x:v>Not flagged</x:v>
      </x:c>
      <x:c r="K100" s="15" t="str">
        <x:v>Female / Family-romance</x:v>
      </x:c>
      <x:c r="L100" s="15" t="str">
        <x:v>Werewolf / Silver Fox Alpha / Pregnancy / SFL</x:v>
      </x:c>
      <x:c r="M100" s="15" t="str">
        <x:v>High-status partner/authority + Child/family reunion</x:v>
      </x:c>
      <x:c r="N100" s="15" t="str">
        <x:v>혈연/아이 진실을 반쯤 드러내고 대면·인정은 지연</x:v>
      </x:c>
      <x:c r="O100" s="15" t="str">
        <x:v>Medium-High: 압도적 외모·의상·공간 미감으로 실사형 보상 강화</x:v>
      </x:c>
      <x:c r="P100" s="15" t="str">
        <x:v>wolf가 없다고 멸시받은 Clara가 전 약혼자의 아버지 Silver Fox Alpha에게 선택받음.</x:v>
      </x:c>
      <x:c r="Q100" s="15" t="str">
        <x:v>리뷰에서 underdog heroine/empowerment 반응 강함.</x:v>
      </x:c>
      <x:c r="R100" s="15" t="str">
        <x:v>2025-09-17; 700+ page view signal.</x:v>
      </x:c>
      <x:c r="S100" s="15" t="str">
        <x:v>B / Useful verified</x:v>
      </x:c>
      <x:c r="T100" s="18" t="n">
        <x:v>78</x:v>
      </x:c>
      <x:c r="U100" s="15" t="str">
        <x:v>B_Strong</x:v>
      </x:c>
      <x:c r="V100" s="15" t="str">
        <x:v>KEEP</x:v>
      </x:c>
      <x:c r="W100" s="15" t="str"/>
      <x:c r="X100" s="15" t="str"/>
      <x:c r="Y100" s="15" t="str">
        <x:v>https://www.dramaboxdb.com/content/critique/5191_knocked-up-by-the-silver-fox-alpha-full-episodes</x:v>
      </x:c>
      <x:c r="Z100" s="15" t="str"/>
    </x:row>
    <x:row r="101">
      <x:c r="A101" s="15" t="str">
        <x:v>L0100</x:v>
      </x:c>
      <x:c r="B101" s="15" t="str">
        <x:v>2025-09</x:v>
      </x:c>
      <x:c r="C101" s="15" t="str">
        <x:v>DramaBox</x:v>
      </x:c>
      <x:c r="D101" s="15" t="str">
        <x:v>Base_XLSX</x:v>
      </x:c>
      <x:c r="E101" s="15" t="n">
        <x:v>3</x:v>
      </x:c>
      <x:c r="F101" s="15" t="str">
        <x:v>Base only</x:v>
      </x:c>
      <x:c r="G101" s="15" t="str">
        <x:v>Divorced, Now a Lycan Princess</x:v>
      </x:c>
      <x:c r="H101" s="15" t="str">
        <x:v>Divorced, Now a Lycan Princess</x:v>
      </x:c>
      <x:c r="I101" s="15" t="str">
        <x:v>Live-action/dubbed; AIGC not flagged</x:v>
      </x:c>
      <x:c r="J101" s="15" t="str">
        <x:v>Not flagged</x:v>
      </x:c>
      <x:c r="K101" s="15" t="str">
        <x:v>Female / Romance</x:v>
      </x:c>
      <x:c r="L101" s="15" t="str">
        <x:v>Werewolf / Divorce / Princess Reveal</x:v>
      </x:c>
      <x:c r="M101" s="15" t="str">
        <x:v>Core melodrama hook</x:v>
      </x:c>
      <x:c r="N101" s="15" t="str">
        <x:v>무료부에서는 결핍과 예고, 유료부에서는 보상/진실/역전</x:v>
      </x:c>
      <x:c r="O101" s="15" t="str">
        <x:v>Medium: 광고 컷·후킹 이미지 보강용</x:v>
      </x:c>
      <x:c r="P101" s="15" t="str">
        <x:v>이혼 후 lycan princess 정체/권력을 되찾는 fantasy romance.</x:v>
      </x:c>
      <x:c r="Q101" s="15" t="str">
        <x:v>DramaBoxDB에서 immersive design/next episode 언급.</x:v>
      </x:c>
      <x:c r="R101" s="15" t="str">
        <x:v>2025-09-28; 500+ page view signal.</x:v>
      </x:c>
      <x:c r="S101" s="15" t="str">
        <x:v>B / Useful verified</x:v>
      </x:c>
      <x:c r="T101" s="18" t="n">
        <x:v>78</x:v>
      </x:c>
      <x:c r="U101" s="15" t="str">
        <x:v>B_Strong</x:v>
      </x:c>
      <x:c r="V101" s="15" t="str">
        <x:v>KEEP</x:v>
      </x:c>
      <x:c r="W101" s="15" t="str"/>
      <x:c r="X101" s="15" t="str"/>
      <x:c r="Y101" s="15" t="str">
        <x:v>https://www.dramaboxdb.com/content/critique/5278_divorced-now-a-lycan-princess-full-episodes</x:v>
      </x:c>
      <x:c r="Z101" s="15" t="str"/>
    </x:row>
    <x:row r="102">
      <x:c r="A102" s="15" t="str">
        <x:v>L0101</x:v>
      </x:c>
      <x:c r="B102" s="15" t="str">
        <x:v>2025-10</x:v>
      </x:c>
      <x:c r="C102" s="15" t="str">
        <x:v>DramaBox</x:v>
      </x:c>
      <x:c r="D102" s="15" t="str">
        <x:v>Base_XLSX</x:v>
      </x:c>
      <x:c r="E102" s="15" t="n">
        <x:v>1</x:v>
      </x:c>
      <x:c r="F102" s="15" t="str">
        <x:v>Base only</x:v>
      </x:c>
      <x:c r="G102" s="15" t="str">
        <x:v>Watch Out, I'm The Lady Boss</x:v>
      </x:c>
      <x:c r="H102" s="15" t="str">
        <x:v>Watch Out, I'm The Lady Boss</x:v>
      </x:c>
      <x:c r="I102" s="15" t="str">
        <x:v>Live-action/dubbed; AIGC not flagged</x:v>
      </x:c>
      <x:c r="J102" s="15" t="str">
        <x:v>Not flagged</x:v>
      </x:c>
      <x:c r="K102" s="15" t="str">
        <x:v>Female / Revenge-SFL</x:v>
      </x:c>
      <x:c r="L102" s="15" t="str">
        <x:v>Strong Female Lead / Revenge / Lady Boss</x:v>
      </x:c>
      <x:c r="M102" s="15" t="str">
        <x:v>Revenge/regret payoff + Progression/spectacle</x:v>
      </x:c>
      <x:c r="N102" s="15" t="str">
        <x:v>굴욕/배신 후 첫 반격을 예고하고 본격 응징은 지연</x:v>
      </x:c>
      <x:c r="O102" s="15" t="str">
        <x:v>High: VFX·세계관·시스템 UI·비현실 스케일을 직접 보상화</x:v>
      </x:c>
      <x:c r="P102" s="15" t="str">
        <x:v>권력에서 밀린 여성이 lady boss로 귀환해 복수하는 여성향 사이다.</x:v>
      </x:c>
      <x:c r="Q102" s="15" t="str">
        <x:v>DramaBoxDB 기준 2.4K+ page views.</x:v>
      </x:c>
      <x:c r="R102" s="15" t="str">
        <x:v>2025-10-05.</x:v>
      </x:c>
      <x:c r="S102" s="15" t="str">
        <x:v>B / Useful verified</x:v>
      </x:c>
      <x:c r="T102" s="18" t="n">
        <x:v>78</x:v>
      </x:c>
      <x:c r="U102" s="15" t="str">
        <x:v>B_Strong</x:v>
      </x:c>
      <x:c r="V102" s="15" t="str">
        <x:v>KEEP</x:v>
      </x:c>
      <x:c r="W102" s="15" t="str"/>
      <x:c r="X102" s="15" t="str"/>
      <x:c r="Y102" s="15" t="str">
        <x:v>https://www.dramaboxdb.com/content/critique/5297_watch-out-im-the-lady-boss-full-episodes</x:v>
      </x:c>
      <x:c r="Z102" s="15" t="str"/>
    </x:row>
    <x:row r="103">
      <x:c r="A103" s="15" t="str">
        <x:v>L0102</x:v>
      </x:c>
      <x:c r="B103" s="15" t="str">
        <x:v>2025-10</x:v>
      </x:c>
      <x:c r="C103" s="15" t="str">
        <x:v>DramaBox</x:v>
      </x:c>
      <x:c r="D103" s="15" t="str">
        <x:v>Base_XLSX</x:v>
      </x:c>
      <x:c r="E103" s="15" t="n">
        <x:v>2</x:v>
      </x:c>
      <x:c r="F103" s="15" t="str">
        <x:v>Base only</x:v>
      </x:c>
      <x:c r="G103" s="15" t="str">
        <x:v>They Love Me Too Late</x:v>
      </x:c>
      <x:c r="H103" s="15" t="str">
        <x:v>They Love Me Too Late</x:v>
      </x:c>
      <x:c r="I103" s="15" t="str">
        <x:v>Live-action/dubbed; AIGC not flagged</x:v>
      </x:c>
      <x:c r="J103" s="15" t="str">
        <x:v>Not flagged</x:v>
      </x:c>
      <x:c r="K103" s="15" t="str">
        <x:v>Female / Family-romance</x:v>
      </x:c>
      <x:c r="L103" s="15" t="str">
        <x:v>Love Triangle / Family Betrayal / All-Too-Late</x:v>
      </x:c>
      <x:c r="M103" s="15" t="str">
        <x:v>Revenge/regret payoff + Child/family reunion</x:v>
      </x:c>
      <x:c r="N103" s="15" t="str">
        <x:v>굴욕/배신 후 첫 반격을 예고하고 본격 응징은 지연</x:v>
      </x:c>
      <x:c r="O103" s="15" t="str">
        <x:v>Medium: 아이/가족 감정은 직관화하되 섬세한 연기는 과신 금지</x:v>
      </x:c>
      <x:c r="P103" s="15" t="str">
        <x:v>가족·연인들이 너무 늦게 사랑을 깨닫는 betrayal/regret drama.</x:v>
      </x:c>
      <x:c r="Q103" s="15" t="str">
        <x:v>DramaBoxDB 기준 1.5K+ page views.</x:v>
      </x:c>
      <x:c r="R103" s="15" t="str">
        <x:v>2025-10-14.</x:v>
      </x:c>
      <x:c r="S103" s="15" t="str">
        <x:v>B / Useful verified</x:v>
      </x:c>
      <x:c r="T103" s="18" t="n">
        <x:v>78</x:v>
      </x:c>
      <x:c r="U103" s="15" t="str">
        <x:v>B_Strong</x:v>
      </x:c>
      <x:c r="V103" s="15" t="str">
        <x:v>KEEP</x:v>
      </x:c>
      <x:c r="W103" s="15" t="str"/>
      <x:c r="X103" s="15" t="str"/>
      <x:c r="Y103" s="15" t="str">
        <x:v>https://www.dramaboxdb.com/content/critique/5346_they-love-me-too-late-full-episodes</x:v>
      </x:c>
      <x:c r="Z103" s="15" t="str"/>
    </x:row>
    <x:row r="104">
      <x:c r="A104" s="15" t="str">
        <x:v>L0103</x:v>
      </x:c>
      <x:c r="B104" s="15" t="str">
        <x:v>2025-10</x:v>
      </x:c>
      <x:c r="C104" s="15" t="str">
        <x:v>DramaBox</x:v>
      </x:c>
      <x:c r="D104" s="15" t="str">
        <x:v>Base_XLSX</x:v>
      </x:c>
      <x:c r="E104" s="15" t="n">
        <x:v>3</x:v>
      </x:c>
      <x:c r="F104" s="15" t="str">
        <x:v>Base only</x:v>
      </x:c>
      <x:c r="G104" s="15" t="str">
        <x:v>악녀로 빙의중!</x:v>
      </x:c>
      <x:c r="H104" s="15" t="str">
        <x:v>악녀로 빙의중!</x:v>
      </x:c>
      <x:c r="I104" s="15" t="str">
        <x:v>Live-action/dubbed; AIGC not flagged</x:v>
      </x:c>
      <x:c r="J104" s="15" t="str">
        <x:v>Not flagged</x:v>
      </x:c>
      <x:c r="K104" s="15" t="str">
        <x:v>Mixed / General</x:v>
      </x:c>
      <x:c r="L104" s="15" t="str">
        <x:v>Villainess Possession / Fantasy / Plot Escape</x:v>
      </x:c>
      <x:c r="M104" s="15" t="str">
        <x:v>Core melodrama hook</x:v>
      </x:c>
      <x:c r="N104" s="15" t="str">
        <x:v>무료부에서는 결핍과 예고, 유료부에서는 보상/진실/역전</x:v>
      </x:c>
      <x:c r="O104" s="15" t="str">
        <x:v>Medium: 광고 컷·후킹 이미지 보강용</x:v>
      </x:c>
      <x:c r="P104" s="15" t="str">
        <x:v>웹소설 작가가 악녀에 빙의해 플롯과 전남친을 밀어내는 판타지 회귀물.</x:v>
      </x:c>
      <x:c r="Q104" s="15" t="str">
        <x:v>DramaBoxDB Korean review 존재.</x:v>
      </x:c>
      <x:c r="R104" s="15" t="str">
        <x:v>2025-10-20.</x:v>
      </x:c>
      <x:c r="S104" s="15" t="str">
        <x:v>C / Watch</x:v>
      </x:c>
      <x:c r="T104" s="18" t="n">
        <x:v>63</x:v>
      </x:c>
      <x:c r="U104" s="15" t="str">
        <x:v>C_Watch</x:v>
      </x:c>
      <x:c r="V104" s="15" t="str">
        <x:v>KEEP</x:v>
      </x:c>
      <x:c r="W104" s="15" t="str"/>
      <x:c r="X104" s="15" t="str"/>
      <x:c r="Y104" s="15" t="str">
        <x:v>https://www.dramaboxdb.com/content/critique/5390_%EC%95%85%EB%85%80%EB%A1%9C-%EB%B9%99%EC%9D%98%EC%A4%91-%EB%8B%A4%EC%8B%9C%EB%B3%B4%EA%B8%B0</x:v>
      </x:c>
      <x:c r="Z104" s="15" t="str">
        <x:v>공식 성과/광고 집행량 재확인.</x:v>
      </x:c>
    </x:row>
    <x:row r="105">
      <x:c r="A105" s="15" t="str">
        <x:v>L0104</x:v>
      </x:c>
      <x:c r="B105" s="15" t="str">
        <x:v>2025-11</x:v>
      </x:c>
      <x:c r="C105" s="15" t="str">
        <x:v>DramaBox</x:v>
      </x:c>
      <x:c r="D105" s="15" t="str">
        <x:v>Base_XLSX</x:v>
      </x:c>
      <x:c r="E105" s="15" t="n">
        <x:v>1</x:v>
      </x:c>
      <x:c r="F105" s="15" t="str">
        <x:v>Base only</x:v>
      </x:c>
      <x:c r="G105" s="15" t="str">
        <x:v>The Return of the Amnesiac Heiress</x:v>
      </x:c>
      <x:c r="H105" s="15" t="str">
        <x:v>The Return of the Amnesiac Heiress</x:v>
      </x:c>
      <x:c r="I105" s="15" t="str">
        <x:v>Live-action/dubbed; AIGC not flagged</x:v>
      </x:c>
      <x:c r="J105" s="15" t="str">
        <x:v>Not flagged</x:v>
      </x:c>
      <x:c r="K105" s="15" t="str">
        <x:v>Family regret / mixed</x:v>
      </x:c>
      <x:c r="L105" s="15" t="str">
        <x:v>Amnesiac Heiress / Revenge / Family Secret</x:v>
      </x:c>
      <x:c r="M105" s="15" t="str">
        <x:v>Hidden-identity reveal + Revenge/regret payoff + Child/family reunion</x:v>
      </x:c>
      <x:c r="N105" s="15" t="str">
        <x:v>정체/권력 공개 직전까지 결핍·오해를 누적</x:v>
      </x:c>
      <x:c r="O105" s="15" t="str">
        <x:v>Medium: 아이/가족 감정은 직관화하되 섬세한 연기는 과신 금지</x:v>
      </x:c>
      <x:c r="P105" s="15" t="str">
        <x:v>기억을 잃은 상속녀가 가족 비밀과 잃어버린 엄마를 추적하며 복수.</x:v>
      </x:c>
      <x:c r="Q105" s="15" t="str">
        <x:v>DramaBoxDB Revenge list에 2025-11-26 new release로 노출.</x:v>
      </x:c>
      <x:c r="R105" s="15" t="str">
        <x:v>Revenge list signal.</x:v>
      </x:c>
      <x:c r="S105" s="15" t="str">
        <x:v>C / Watch</x:v>
      </x:c>
      <x:c r="T105" s="18" t="n">
        <x:v>63</x:v>
      </x:c>
      <x:c r="U105" s="15" t="str">
        <x:v>C_Watch</x:v>
      </x:c>
      <x:c r="V105" s="15" t="str">
        <x:v>KEEP</x:v>
      </x:c>
      <x:c r="W105" s="15" t="str"/>
      <x:c r="X105" s="15" t="str"/>
      <x:c r="Y105" s="15" t="str">
        <x:v>https://www.dramaboxdb.com/</x:v>
      </x:c>
      <x:c r="Z105" s="15" t="str">
        <x:v>공식 성과/광고 집행량 재확인.</x:v>
      </x:c>
    </x:row>
    <x:row r="106">
      <x:c r="A106" s="15" t="str">
        <x:v>L0105</x:v>
      </x:c>
      <x:c r="B106" s="15" t="str">
        <x:v>2025-11</x:v>
      </x:c>
      <x:c r="C106" s="15" t="str">
        <x:v>DramaBox</x:v>
      </x:c>
      <x:c r="D106" s="15" t="str">
        <x:v>Base_XLSX</x:v>
      </x:c>
      <x:c r="E106" s="15" t="n">
        <x:v>2</x:v>
      </x:c>
      <x:c r="F106" s="15" t="str">
        <x:v>Base only</x:v>
      </x:c>
      <x:c r="G106" s="15" t="str">
        <x:v>Badass Heiress Returns</x:v>
      </x:c>
      <x:c r="H106" s="15" t="str">
        <x:v>Badass Heiress Returns</x:v>
      </x:c>
      <x:c r="I106" s="15" t="str">
        <x:v>Live-action/dubbed; AIGC not flagged</x:v>
      </x:c>
      <x:c r="J106" s="15" t="str">
        <x:v>Not flagged</x:v>
      </x:c>
      <x:c r="K106" s="15" t="str">
        <x:v>Female / Revenge-SFL</x:v>
      </x:c>
      <x:c r="L106" s="15" t="str">
        <x:v>Heiress Returns / Revenge / SFL</x:v>
      </x:c>
      <x:c r="M106" s="15" t="str">
        <x:v>Hidden-identity reveal + Revenge/regret payoff</x:v>
      </x:c>
      <x:c r="N106" s="15" t="str">
        <x:v>정체/권력 공개 직전까지 결핍·오해를 누적</x:v>
      </x:c>
      <x:c r="O106" s="15" t="str">
        <x:v>Medium: 광고 컷·후킹 이미지 보강용</x:v>
      </x:c>
      <x:c r="P106" s="15" t="str">
        <x:v>밀려난 상속녀가 badass heroine으로 돌아와 권력과 복수를 회수.</x:v>
      </x:c>
      <x:c r="Q106" s="15" t="str">
        <x:v>DramaBoxDB Revenge list에 2025-11-25 노출.</x:v>
      </x:c>
      <x:c r="R106" s="15" t="str">
        <x:v>Revenge list signal.</x:v>
      </x:c>
      <x:c r="S106" s="15" t="str">
        <x:v>C / Watch</x:v>
      </x:c>
      <x:c r="T106" s="18" t="n">
        <x:v>63</x:v>
      </x:c>
      <x:c r="U106" s="15" t="str">
        <x:v>C_Watch</x:v>
      </x:c>
      <x:c r="V106" s="15" t="str">
        <x:v>KEEP</x:v>
      </x:c>
      <x:c r="W106" s="15" t="str"/>
      <x:c r="X106" s="15" t="str"/>
      <x:c r="Y106" s="15" t="str">
        <x:v>https://www.dramaboxdb.com/</x:v>
      </x:c>
      <x:c r="Z106" s="15" t="str">
        <x:v>공식 성과/광고 집행량 재확인.</x:v>
      </x:c>
    </x:row>
    <x:row r="107">
      <x:c r="A107" s="15" t="str">
        <x:v>L0106</x:v>
      </x:c>
      <x:c r="B107" s="15" t="str">
        <x:v>2025-11</x:v>
      </x:c>
      <x:c r="C107" s="15" t="str">
        <x:v>DramaBox</x:v>
      </x:c>
      <x:c r="D107" s="15" t="str">
        <x:v>Base_XLSX</x:v>
      </x:c>
      <x:c r="E107" s="15" t="n">
        <x:v>3</x:v>
      </x:c>
      <x:c r="F107" s="15" t="str">
        <x:v>Base only</x:v>
      </x:c>
      <x:c r="G107" s="15" t="str">
        <x:v>Taming of a Billionaire</x:v>
      </x:c>
      <x:c r="H107" s="15" t="str">
        <x:v>Taming of a Billionaire</x:v>
      </x:c>
      <x:c r="I107" s="15" t="str">
        <x:v>Live-action/dubbed; AIGC not flagged</x:v>
      </x:c>
      <x:c r="J107" s="15" t="str">
        <x:v>Not flagged</x:v>
      </x:c>
      <x:c r="K107" s="15" t="str">
        <x:v>Female / Romance</x:v>
      </x:c>
      <x:c r="L107" s="15" t="str">
        <x:v>Billionaire Romance / Taming / CEO</x:v>
      </x:c>
      <x:c r="M107" s="15" t="str">
        <x:v>High-status partner/authority</x:v>
      </x:c>
      <x:c r="N107" s="15" t="str">
        <x:v>강한 케미·보호/소유 신호를 주되 감정 확정은 지연</x:v>
      </x:c>
      <x:c r="O107" s="15" t="str">
        <x:v>Medium-High: 압도적 외모·의상·공간 미감으로 실사형 보상 강화</x:v>
      </x:c>
      <x:c r="P107" s="15" t="str">
        <x:v>억만장자 남주와 여주가 power romance로 엮이는 taming 계열.</x:v>
      </x:c>
      <x:c r="Q107" s="15" t="str">
        <x:v>DramaBoxDB resource/search signal.</x:v>
      </x:c>
      <x:c r="R107" s="15" t="str">
        <x:v>2025-11 resource signal.</x:v>
      </x:c>
      <x:c r="S107" s="15" t="str">
        <x:v>D / Needs verification</x:v>
      </x:c>
      <x:c r="T107" s="18" t="n">
        <x:v>46</x:v>
      </x:c>
      <x:c r="U107" s="15" t="str">
        <x:v>D_Verify</x:v>
      </x:c>
      <x:c r="V107" s="15" t="str">
        <x:v>POSSIBLE_REPLACE_BY_SUPPLEMENT</x:v>
      </x:c>
      <x:c r="W107" s="15" t="str">
        <x:v>Three Chances, I’m Gone Forever</x:v>
      </x:c>
      <x:c r="X107" s="15" t="str">
        <x:v>동월·동플랫폼 보강자료 후보가 있고, 현행 행의 confidence가 Low라 교체 후보.</x:v>
      </x:c>
      <x:c r="Y107" s="15" t="str">
        <x:v>https://www.dramaboxdb.com/</x:v>
      </x:c>
      <x:c r="Z107" s="15" t="str">
        <x:v>공식 성과/광고 집행량 재확인.</x:v>
      </x:c>
    </x:row>
    <x:row r="108">
      <x:c r="A108" s="15" t="str">
        <x:v>L0107</x:v>
      </x:c>
      <x:c r="B108" s="15" t="str">
        <x:v>2025-12</x:v>
      </x:c>
      <x:c r="C108" s="15" t="str">
        <x:v>DramaBox</x:v>
      </x:c>
      <x:c r="D108" s="15" t="str">
        <x:v>Base_XLSX</x:v>
      </x:c>
      <x:c r="E108" s="15" t="n">
        <x:v>1</x:v>
      </x:c>
      <x:c r="F108" s="15" t="str">
        <x:v>Base only</x:v>
      </x:c>
      <x:c r="G108" s="15" t="str">
        <x:v>Flash Marriage to My Billionaire Hobo Hubby</x:v>
      </x:c>
      <x:c r="H108" s="15" t="str">
        <x:v>Flash Marriage to My Billionaire Hobo Hubby</x:v>
      </x:c>
      <x:c r="I108" s="15" t="str">
        <x:v>Live-action/dubbed; AIGC not flagged</x:v>
      </x:c>
      <x:c r="J108" s="15" t="str">
        <x:v>Not flagged</x:v>
      </x:c>
      <x:c r="K108" s="15" t="str">
        <x:v>Female / Romance</x:v>
      </x:c>
      <x:c r="L108" s="15" t="str">
        <x:v>Flash Marriage / Hidden CEO / Contract Marriage</x:v>
      </x:c>
      <x:c r="M108" s="15" t="str">
        <x:v>Hidden-identity reveal + High-status partner/authority</x:v>
      </x:c>
      <x:c r="N108" s="15" t="str">
        <x:v>정체/권력 공개 직전까지 결핍·오해를 누적</x:v>
      </x:c>
      <x:c r="O108" s="15" t="str">
        <x:v>Medium-High: 압도적 외모·의상·공간 미감으로 실사형 보상 강화</x:v>
      </x:c>
      <x:c r="P108" s="15" t="str">
        <x:v>andrologist 여주와 정체를 숨긴 Blake Group CEO가 병원 해프닝 후 계약 결혼.</x:v>
      </x:c>
      <x:c r="Q108" s="15" t="str">
        <x:v>DramaBoxDB Contract Marriage list에서 줄거리 확인.</x:v>
      </x:c>
      <x:c r="R108" s="15" t="str">
        <x:v>2025-12-18.</x:v>
      </x:c>
      <x:c r="S108" s="15" t="str">
        <x:v>B / Useful verified</x:v>
      </x:c>
      <x:c r="T108" s="18" t="n">
        <x:v>78</x:v>
      </x:c>
      <x:c r="U108" s="15" t="str">
        <x:v>B_Strong</x:v>
      </x:c>
      <x:c r="V108" s="15" t="str">
        <x:v>KEEP</x:v>
      </x:c>
      <x:c r="W108" s="15" t="str"/>
      <x:c r="X108" s="15" t="str"/>
      <x:c r="Y108" s="15" t="str">
        <x:v>https://www.dramaboxdb.com/content/list/Contract%20Marriage</x:v>
      </x:c>
      <x:c r="Z108" s="15" t="str"/>
    </x:row>
    <x:row r="109">
      <x:c r="A109" s="15" t="str">
        <x:v>L0108</x:v>
      </x:c>
      <x:c r="B109" s="15" t="str">
        <x:v>2025-12</x:v>
      </x:c>
      <x:c r="C109" s="15" t="str">
        <x:v>DramaBox</x:v>
      </x:c>
      <x:c r="D109" s="15" t="str">
        <x:v>Base+Supplement_DOCX</x:v>
      </x:c>
      <x:c r="E109" s="15" t="n">
        <x:v>2</x:v>
      </x:c>
      <x:c r="F109" s="15" t="str">
        <x:v>Merged / reinforced</x:v>
      </x:c>
      <x:c r="G109" s="15" t="str">
        <x:v>His Love Was A Lie</x:v>
      </x:c>
      <x:c r="H109" s="15" t="str">
        <x:v>His Love Was A Lie</x:v>
      </x:c>
      <x:c r="I109" s="15" t="str">
        <x:v>Live-action/dubbed; AIGC not flagged</x:v>
      </x:c>
      <x:c r="J109" s="15" t="str">
        <x:v>Not flagged</x:v>
      </x:c>
      <x:c r="K109" s="15" t="str">
        <x:v>Female / Romance</x:v>
      </x:c>
      <x:c r="L109" s="15" t="str">
        <x:v>Toxic Relationship / Cheating / Regret</x:v>
      </x:c>
      <x:c r="M109" s="15" t="str">
        <x:v>Revenge/regret payoff</x:v>
      </x:c>
      <x:c r="N109" s="15" t="str">
        <x:v>굴욕/배신 후 첫 반격을 예고하고 본격 응징은 지연</x:v>
      </x:c>
      <x:c r="O109" s="15" t="str">
        <x:v>Medium: 광고 컷·후킹 이미지 보강용</x:v>
      </x:c>
      <x:c r="P109" s="15" t="str">
        <x:v>남편이 의붓여동생을 사랑했고 아내를 커버로 쓴 toxic marriage 후회극.</x:v>
      </x:c>
      <x:c r="Q109" s="15" t="str">
        <x:v>DramaBoxDB 2025 new video article; homepage에도 노출.</x:v>
      </x:c>
      <x:c r="R109" s="15" t="str">
        <x:v>2025-12-09; homepage featured.</x:v>
      </x:c>
      <x:c r="S109" s="15" t="str">
        <x:v>A / Strong verified</x:v>
      </x:c>
      <x:c r="T109" s="18" t="n">
        <x:v>100</x:v>
      </x:c>
      <x:c r="U109" s="15" t="str">
        <x:v>A_Core</x:v>
      </x:c>
      <x:c r="V109" s="15" t="str">
        <x:v>MERGE_REINFORCE</x:v>
      </x:c>
      <x:c r="W109" s="15" t="str"/>
      <x:c r="X109" s="15" t="str">
        <x:v>보강자료 일치: Reddit에선 “I’m obsessed with it omg”, “God the end had me!” 같은 반응이 잡혔고, 공식 유튜브엔 57편 플레이리스트가 열렸다. Facebook 댓글에도 “starting off pretty good lol”이 확인된다.</x:v>
      </x:c>
      <x:c r="Y109" s="15" t="str">
        <x:v>https://www.dramaboxdb.com/content/critique/5856_his-love-was-a-lie-new-dramabox
https://www.dramaboxdb.com/
https://www.dramabox.com/drama/42000000606/His-Love-Was-A-Lie
https://www.reddit.com/r/ReelShorts/comments/1pcu1kb/his_love_was_a_lie/</x:v>
      </x:c>
      <x:c r="Z109" s="15" t="str"/>
    </x:row>
    <x:row r="110">
      <x:c r="A110" s="15" t="str">
        <x:v>L0109</x:v>
      </x:c>
      <x:c r="B110" s="15" t="str">
        <x:v>2025-12</x:v>
      </x:c>
      <x:c r="C110" s="15" t="str">
        <x:v>DramaBox</x:v>
      </x:c>
      <x:c r="D110" s="15" t="str">
        <x:v>Base_XLSX</x:v>
      </x:c>
      <x:c r="E110" s="15" t="n">
        <x:v>3</x:v>
      </x:c>
      <x:c r="F110" s="15" t="str">
        <x:v>Base only</x:v>
      </x:c>
      <x:c r="G110" s="15" t="str">
        <x:v>Hunter in the Ring: Gloves Off, Blood On (DUBBED)</x:v>
      </x:c>
      <x:c r="H110" s="15" t="str">
        <x:v>Hunter in the Ring: Gloves Off, Blood On (DUBBED)</x:v>
      </x:c>
      <x:c r="I110" s="15" t="str">
        <x:v>Live-action/dubbed; AIGC not flagged</x:v>
      </x:c>
      <x:c r="J110" s="15" t="str">
        <x:v>Not flagged</x:v>
      </x:c>
      <x:c r="K110" s="15" t="str">
        <x:v>Female / Romance</x:v>
      </x:c>
      <x:c r="L110" s="15" t="str">
        <x:v>Boxing / Revenge / Hidden Champion</x:v>
      </x:c>
      <x:c r="M110" s="15" t="str">
        <x:v>Hidden-identity reveal + Revenge/regret payoff</x:v>
      </x:c>
      <x:c r="N110" s="15" t="str">
        <x:v>정체/권력 공개 직전까지 결핍·오해를 누적</x:v>
      </x:c>
      <x:c r="O110" s="15" t="str">
        <x:v>Medium: 광고 컷·후킹 이미지 보강용</x:v>
      </x:c>
      <x:c r="P110" s="15" t="str">
        <x:v>10회 챔피언이 정체를 숨기고 복싱클럽 청소부로 지내다 아버지 살해 조직과 재대결.</x:v>
      </x:c>
      <x:c r="Q110" s="15" t="str">
        <x:v>DramaBoxDB Revenge list에서 title/plot 확인.</x:v>
      </x:c>
      <x:c r="R110" s="15" t="str">
        <x:v>2025-12-03.</x:v>
      </x:c>
      <x:c r="S110" s="15" t="str">
        <x:v>B / Useful verified</x:v>
      </x:c>
      <x:c r="T110" s="18" t="n">
        <x:v>78</x:v>
      </x:c>
      <x:c r="U110" s="15" t="str">
        <x:v>B_Strong</x:v>
      </x:c>
      <x:c r="V110" s="15" t="str">
        <x:v>KEEP</x:v>
      </x:c>
      <x:c r="W110" s="15" t="str"/>
      <x:c r="X110" s="15" t="str"/>
      <x:c r="Y110" s="15" t="str">
        <x:v>https://www.dramaboxdb.com/content/list/Revenge/9</x:v>
      </x:c>
      <x:c r="Z110" s="15" t="str"/>
    </x:row>
    <x:row r="111">
      <x:c r="A111" s="15" t="str">
        <x:v>L0110</x:v>
      </x:c>
      <x:c r="B111" s="15" t="str">
        <x:v>2026-01</x:v>
      </x:c>
      <x:c r="C111" s="15" t="str">
        <x:v>DramaBox</x:v>
      </x:c>
      <x:c r="D111" s="15" t="str">
        <x:v>Base_XLSX</x:v>
      </x:c>
      <x:c r="E111" s="15" t="n">
        <x:v>1</x:v>
      </x:c>
      <x:c r="F111" s="15" t="str">
        <x:v>Base only</x:v>
      </x:c>
      <x:c r="G111" s="15" t="str">
        <x:v>If I Never Loved You</x:v>
      </x:c>
      <x:c r="H111" s="15" t="str">
        <x:v>If I Never Loved You</x:v>
      </x:c>
      <x:c r="I111" s="15" t="str">
        <x:v>Live-action/dubbed; AIGC not flagged</x:v>
      </x:c>
      <x:c r="J111" s="15" t="str">
        <x:v>Not flagged</x:v>
      </x:c>
      <x:c r="K111" s="15" t="str">
        <x:v>Female / Romance</x:v>
      </x:c>
      <x:c r="L111" s="15" t="str">
        <x:v>Second-Chance Love / Regret / Bitter Romance</x:v>
      </x:c>
      <x:c r="M111" s="15" t="str">
        <x:v>Revenge/regret payoff</x:v>
      </x:c>
      <x:c r="N111" s="15" t="str">
        <x:v>굴욕/배신 후 첫 반격을 예고하고 본격 응징은 지연</x:v>
      </x:c>
      <x:c r="O111" s="15" t="str">
        <x:v>Medium: 광고 컷·후킹 이미지 보강용</x:v>
      </x:c>
      <x:c r="P111" s="15" t="str">
        <x:v>거짓 사랑이 왜 이렇게 아픈지 묻는 second-chance 후회 로맨스.</x:v>
      </x:c>
      <x:c r="Q111" s="15" t="str">
        <x:v>DramaBoxDB 기준 1.2K+ page views.</x:v>
      </x:c>
      <x:c r="R111" s="15" t="str">
        <x:v>2026-01-21.</x:v>
      </x:c>
      <x:c r="S111" s="15" t="str">
        <x:v>B / Useful verified</x:v>
      </x:c>
      <x:c r="T111" s="18" t="n">
        <x:v>78</x:v>
      </x:c>
      <x:c r="U111" s="15" t="str">
        <x:v>B_Strong</x:v>
      </x:c>
      <x:c r="V111" s="15" t="str">
        <x:v>KEEP</x:v>
      </x:c>
      <x:c r="W111" s="15" t="str"/>
      <x:c r="X111" s="15" t="str"/>
      <x:c r="Y111" s="15" t="str">
        <x:v>https://www.dramaboxdb.com/content/critique/6288_if-i-never-loved-you-full-episodes</x:v>
      </x:c>
      <x:c r="Z111" s="15" t="str"/>
    </x:row>
    <x:row r="112">
      <x:c r="A112" s="15" t="str">
        <x:v>L0111</x:v>
      </x:c>
      <x:c r="B112" s="15" t="str">
        <x:v>2026-01</x:v>
      </x:c>
      <x:c r="C112" s="15" t="str">
        <x:v>DramaBox</x:v>
      </x:c>
      <x:c r="D112" s="15" t="str">
        <x:v>Base_XLSX</x:v>
      </x:c>
      <x:c r="E112" s="15" t="n">
        <x:v>2</x:v>
      </x:c>
      <x:c r="F112" s="15" t="str">
        <x:v>Base only</x:v>
      </x:c>
      <x:c r="G112" s="15" t="str">
        <x:v>Your Billionaire Bride Is My Cheating Wife</x:v>
      </x:c>
      <x:c r="H112" s="15" t="str">
        <x:v>Your Billionaire Bride Is My Cheating Wife</x:v>
      </x:c>
      <x:c r="I112" s="15" t="str">
        <x:v>Live-action/dubbed; AIGC not flagged</x:v>
      </x:c>
      <x:c r="J112" s="15" t="str">
        <x:v>Not flagged</x:v>
      </x:c>
      <x:c r="K112" s="15" t="str">
        <x:v>Female / Romance</x:v>
      </x:c>
      <x:c r="L112" s="15" t="str">
        <x:v>Marriage / Cheating Wife / Billionaire Revenge</x:v>
      </x:c>
      <x:c r="M112" s="15" t="str">
        <x:v>Revenge/regret payoff + High-status partner/authority</x:v>
      </x:c>
      <x:c r="N112" s="15" t="str">
        <x:v>굴욕/배신 후 첫 반격을 예고하고 본격 응징은 지연</x:v>
      </x:c>
      <x:c r="O112" s="15" t="str">
        <x:v>Medium-High: 압도적 외모·의상·공간 미감으로 실사형 보상 강화</x:v>
      </x:c>
      <x:c r="P112" s="15" t="str">
        <x:v>아내가 억만장자 신부 행세로 정체와 재산을 훔치려 하자 남주가 제국을 회수.</x:v>
      </x:c>
      <x:c r="Q112" s="15" t="str">
        <x:v>DramaBoxDB Marriage list에 2026-01-26 노출.</x:v>
      </x:c>
      <x:c r="R112" s="15" t="str">
        <x:v>2026-01-26.</x:v>
      </x:c>
      <x:c r="S112" s="15" t="str">
        <x:v>B / Useful verified</x:v>
      </x:c>
      <x:c r="T112" s="18" t="n">
        <x:v>78</x:v>
      </x:c>
      <x:c r="U112" s="15" t="str">
        <x:v>B_Strong</x:v>
      </x:c>
      <x:c r="V112" s="15" t="str">
        <x:v>KEEP</x:v>
      </x:c>
      <x:c r="W112" s="15" t="str"/>
      <x:c r="X112" s="15" t="str"/>
      <x:c r="Y112" s="15" t="str">
        <x:v>https://www.dramaboxdb.com/content/list/Marriage</x:v>
      </x:c>
      <x:c r="Z112" s="15" t="str"/>
    </x:row>
    <x:row r="113">
      <x:c r="A113" s="15" t="str">
        <x:v>L0112</x:v>
      </x:c>
      <x:c r="B113" s="15" t="str">
        <x:v>2026-01</x:v>
      </x:c>
      <x:c r="C113" s="15" t="str">
        <x:v>DramaBox</x:v>
      </x:c>
      <x:c r="D113" s="15" t="str">
        <x:v>Base_XLSX</x:v>
      </x:c>
      <x:c r="E113" s="15" t="n">
        <x:v>3</x:v>
      </x:c>
      <x:c r="F113" s="15" t="str">
        <x:v>Base only</x:v>
      </x:c>
      <x:c r="G113" s="15" t="str">
        <x:v>After All This Time</x:v>
      </x:c>
      <x:c r="H113" s="15" t="str">
        <x:v>After All This Time</x:v>
      </x:c>
      <x:c r="I113" s="15" t="str">
        <x:v>Live-action/dubbed; AIGC not flagged</x:v>
      </x:c>
      <x:c r="J113" s="15" t="str">
        <x:v>Not flagged</x:v>
      </x:c>
      <x:c r="K113" s="15" t="str">
        <x:v>Female / Romance</x:v>
      </x:c>
      <x:c r="L113" s="15" t="str">
        <x:v>Marriage Before Love / Long-Awaited Love</x:v>
      </x:c>
      <x:c r="M113" s="15" t="str">
        <x:v>Core melodrama hook</x:v>
      </x:c>
      <x:c r="N113" s="15" t="str">
        <x:v>무료부에서는 결핍과 예고, 유료부에서는 보상/진실/역전</x:v>
      </x:c>
      <x:c r="O113" s="15" t="str">
        <x:v>Medium: 광고 컷·후킹 이미지 보강용</x:v>
      </x:c>
      <x:c r="P113" s="15" t="str">
        <x:v>오랜 시간이 지난 뒤 다시 얽히는 marriage-before-love 로맨스.</x:v>
      </x:c>
      <x:c r="Q113" s="15" t="str">
        <x:v>DramaBoxDB new release page 존재.</x:v>
      </x:c>
      <x:c r="R113" s="15" t="str">
        <x:v>2026-01-29.</x:v>
      </x:c>
      <x:c r="S113" s="15" t="str">
        <x:v>C / Watch</x:v>
      </x:c>
      <x:c r="T113" s="18" t="n">
        <x:v>63</x:v>
      </x:c>
      <x:c r="U113" s="15" t="str">
        <x:v>C_Watch</x:v>
      </x:c>
      <x:c r="V113" s="15" t="str">
        <x:v>KEEP</x:v>
      </x:c>
      <x:c r="W113" s="15" t="str"/>
      <x:c r="X113" s="15" t="str"/>
      <x:c r="Y113" s="15" t="str">
        <x:v>https://www.dramaboxdb.com/content/critique/6366_after-all-this-time-full-episodes</x:v>
      </x:c>
      <x:c r="Z113" s="15" t="str">
        <x:v>공식 성과/광고 집행량 재확인.</x:v>
      </x:c>
    </x:row>
    <x:row r="114">
      <x:c r="A114" s="15" t="str">
        <x:v>L0113</x:v>
      </x:c>
      <x:c r="B114" s="15" t="str">
        <x:v>2026-02</x:v>
      </x:c>
      <x:c r="C114" s="15" t="str">
        <x:v>DramaBox</x:v>
      </x:c>
      <x:c r="D114" s="15" t="str">
        <x:v>Base_XLSX</x:v>
      </x:c>
      <x:c r="E114" s="15" t="n">
        <x:v>1</x:v>
      </x:c>
      <x:c r="F114" s="15" t="str">
        <x:v>Base only</x:v>
      </x:c>
      <x:c r="G114" s="15" t="str">
        <x:v>The Day My Stepbrother Knows My Dirty Secret</x:v>
      </x:c>
      <x:c r="H114" s="15" t="str">
        <x:v>The Day My Stepbrother Knows My Dirty Secret</x:v>
      </x:c>
      <x:c r="I114" s="15" t="str">
        <x:v>Live-action/dubbed; AIGC not flagged</x:v>
      </x:c>
      <x:c r="J114" s="15" t="str">
        <x:v>Not flagged</x:v>
      </x:c>
      <x:c r="K114" s="15" t="str">
        <x:v>Female / Romance</x:v>
      </x:c>
      <x:c r="L114" s="15" t="str">
        <x:v>Stepbrother / Dirty Secret / Enemies-to-Lovers</x:v>
      </x:c>
      <x:c r="M114" s="15" t="str">
        <x:v>Hidden-identity reveal</x:v>
      </x:c>
      <x:c r="N114" s="15" t="str">
        <x:v>정체/권력 공개 직전까지 결핍·오해를 누적</x:v>
      </x:c>
      <x:c r="O114" s="15" t="str">
        <x:v>Medium: 광고 컷·후킹 이미지 보강용</x:v>
      </x:c>
      <x:c r="P114" s="15" t="str">
        <x:v>짝사랑 상대의 라이벌이자 새 의붓오빠가 여주의 dirty secret을 알게 됨.</x:v>
      </x:c>
      <x:c r="Q114" s="15" t="str">
        <x:v>DramaBox homepage top row 노출.</x:v>
      </x:c>
      <x:c r="R114" s="15" t="str">
        <x:v>56 eps; homepage hot signal.</x:v>
      </x:c>
      <x:c r="S114" s="15" t="str">
        <x:v>B / Useful verified</x:v>
      </x:c>
      <x:c r="T114" s="18" t="n">
        <x:v>78</x:v>
      </x:c>
      <x:c r="U114" s="15" t="str">
        <x:v>B_Strong</x:v>
      </x:c>
      <x:c r="V114" s="15" t="str">
        <x:v>KEEP</x:v>
      </x:c>
      <x:c r="W114" s="15" t="str"/>
      <x:c r="X114" s="15" t="str"/>
      <x:c r="Y114" s="15" t="str">
        <x:v>https://www.dramaboxdb.com/</x:v>
      </x:c>
      <x:c r="Z114" s="15" t="str"/>
    </x:row>
    <x:row r="115">
      <x:c r="A115" s="15" t="str">
        <x:v>L0114</x:v>
      </x:c>
      <x:c r="B115" s="15" t="str">
        <x:v>2026-02</x:v>
      </x:c>
      <x:c r="C115" s="15" t="str">
        <x:v>DramaBox</x:v>
      </x:c>
      <x:c r="D115" s="15" t="str">
        <x:v>Base_XLSX</x:v>
      </x:c>
      <x:c r="E115" s="15" t="n">
        <x:v>2</x:v>
      </x:c>
      <x:c r="F115" s="15" t="str">
        <x:v>Base only</x:v>
      </x:c>
      <x:c r="G115" s="15" t="str">
        <x:v>Craving My Brother’s Best Friend</x:v>
      </x:c>
      <x:c r="H115" s="15" t="str">
        <x:v>Craving My Brother’s Best Friend</x:v>
      </x:c>
      <x:c r="I115" s="15" t="str">
        <x:v>Live-action/dubbed; AIGC not flagged</x:v>
      </x:c>
      <x:c r="J115" s="15" t="str">
        <x:v>Not flagged</x:v>
      </x:c>
      <x:c r="K115" s="15" t="str">
        <x:v>Mixed / General</x:v>
      </x:c>
      <x:c r="L115" s="15" t="str">
        <x:v>Brother’s Best Friend / Roommate / Fanfic Accident</x:v>
      </x:c>
      <x:c r="M115" s="15" t="str">
        <x:v>Core melodrama hook</x:v>
      </x:c>
      <x:c r="N115" s="15" t="str">
        <x:v>무료부에서는 결핍과 예고, 유료부에서는 보상/진실/역전</x:v>
      </x:c>
      <x:c r="O115" s="15" t="str">
        <x:v>Medium: 광고 컷·후킹 이미지 보강용</x:v>
      </x:c>
      <x:c r="P115" s="15" t="str">
        <x:v>여주가 쓴 steamy fanfic가 새 룸메이트이자 오빠 친구에게 잘못 전송됨.</x:v>
      </x:c>
      <x:c r="Q115" s="15" t="str">
        <x:v>DramaBox homepage top row 노출.</x:v>
      </x:c>
      <x:c r="R115" s="15" t="str">
        <x:v>56 eps; homepage hot signal.</x:v>
      </x:c>
      <x:c r="S115" s="15" t="str">
        <x:v>B / Useful verified</x:v>
      </x:c>
      <x:c r="T115" s="18" t="n">
        <x:v>78</x:v>
      </x:c>
      <x:c r="U115" s="15" t="str">
        <x:v>B_Strong</x:v>
      </x:c>
      <x:c r="V115" s="15" t="str">
        <x:v>KEEP</x:v>
      </x:c>
      <x:c r="W115" s="15" t="str"/>
      <x:c r="X115" s="15" t="str"/>
      <x:c r="Y115" s="15" t="str">
        <x:v>https://www.dramaboxdb.com/</x:v>
      </x:c>
      <x:c r="Z115" s="15" t="str"/>
    </x:row>
    <x:row r="116">
      <x:c r="A116" s="15" t="str">
        <x:v>L0115</x:v>
      </x:c>
      <x:c r="B116" s="15" t="str">
        <x:v>2026-02</x:v>
      </x:c>
      <x:c r="C116" s="15" t="str">
        <x:v>DramaBox</x:v>
      </x:c>
      <x:c r="D116" s="15" t="str">
        <x:v>Base_XLSX</x:v>
      </x:c>
      <x:c r="E116" s="15" t="n">
        <x:v>3</x:v>
      </x:c>
      <x:c r="F116" s="15" t="str">
        <x:v>Base only</x:v>
      </x:c>
      <x:c r="G116" s="15" t="str">
        <x:v>Fated to My Ruthless Alpha</x:v>
      </x:c>
      <x:c r="H116" s="15" t="str">
        <x:v>Fated to My Ruthless Alpha</x:v>
      </x:c>
      <x:c r="I116" s="15" t="str">
        <x:v>Live-action/dubbed; AIGC not flagged</x:v>
      </x:c>
      <x:c r="J116" s="15" t="str">
        <x:v>Not flagged</x:v>
      </x:c>
      <x:c r="K116" s="15" t="str">
        <x:v>Female / Romance</x:v>
      </x:c>
      <x:c r="L116" s="15" t="str">
        <x:v>Werewolf / Fated Mate / Ruthless Alpha</x:v>
      </x:c>
      <x:c r="M116" s="15" t="str">
        <x:v>High-status partner/authority</x:v>
      </x:c>
      <x:c r="N116" s="15" t="str">
        <x:v>강한 케미·보호/소유 신호를 주되 감정 확정은 지연</x:v>
      </x:c>
      <x:c r="O116" s="15" t="str">
        <x:v>Medium-High: 압도적 외모·의상·공간 미감으로 실사형 보상 강화</x:v>
      </x:c>
      <x:c r="P116" s="15" t="str">
        <x:v>ruthless alpha와 fated mate 관계가 true love/fantasy로 연결되는 늑대인간 로맨스.</x:v>
      </x:c>
      <x:c r="Q116" s="15" t="str">
        <x:v>DramaBox Must-sees/Hidden Gems 영역 노출.</x:v>
      </x:c>
      <x:c r="R116" s="15" t="str">
        <x:v>60 eps; homepage must-see signal.</x:v>
      </x:c>
      <x:c r="S116" s="15" t="str">
        <x:v>B / Useful verified</x:v>
      </x:c>
      <x:c r="T116" s="18" t="n">
        <x:v>78</x:v>
      </x:c>
      <x:c r="U116" s="15" t="str">
        <x:v>B_Strong</x:v>
      </x:c>
      <x:c r="V116" s="15" t="str">
        <x:v>KEEP</x:v>
      </x:c>
      <x:c r="W116" s="15" t="str"/>
      <x:c r="X116" s="15" t="str"/>
      <x:c r="Y116" s="15" t="str">
        <x:v>https://www.dramaboxdb.com/</x:v>
      </x:c>
      <x:c r="Z116" s="15" t="str"/>
    </x:row>
    <x:row r="117">
      <x:c r="A117" s="15" t="str">
        <x:v>L0116</x:v>
      </x:c>
      <x:c r="B117" s="15" t="str">
        <x:v>2026-02</x:v>
      </x:c>
      <x:c r="C117" s="15" t="str">
        <x:v>DramaBox</x:v>
      </x:c>
      <x:c r="D117" s="15" t="str">
        <x:v>Base_XLSX</x:v>
      </x:c>
      <x:c r="E117" s="15" t="n">
        <x:v>4</x:v>
      </x:c>
      <x:c r="F117" s="15" t="str">
        <x:v>Base only</x:v>
      </x:c>
      <x:c r="G117" s="15" t="str">
        <x:v>Your Loser Husband Is A Big Shot</x:v>
      </x:c>
      <x:c r="H117" s="15" t="str">
        <x:v>Your Loser Husband Is A Big Shot</x:v>
      </x:c>
      <x:c r="I117" s="15" t="str">
        <x:v>Live-action/dubbed; AIGC not flagged</x:v>
      </x:c>
      <x:c r="J117" s="15" t="str">
        <x:v>Not flagged</x:v>
      </x:c>
      <x:c r="K117" s="15" t="str">
        <x:v>Female / Romance</x:v>
      </x:c>
      <x:c r="L117" s="15" t="str">
        <x:v>Secret Identity / Second Chance / Hidden Big Shot</x:v>
      </x:c>
      <x:c r="M117" s="15" t="str">
        <x:v>Hidden-identity reveal</x:v>
      </x:c>
      <x:c r="N117" s="15" t="str">
        <x:v>정체/권력 공개 직전까지 결핍·오해를 누적</x:v>
      </x:c>
      <x:c r="O117" s="15" t="str">
        <x:v>Medium: 광고 컷·후킹 이미지 보강용</x:v>
      </x:c>
      <x:c r="P117" s="15" t="str">
        <x:v>루저처럼 보이는 남편이 사실 big shot이었다는 정체 공개형 결혼 역전.</x:v>
      </x:c>
      <x:c r="Q117" s="15" t="str">
        <x:v>DramaBox Must-sees 영역 노출.</x:v>
      </x:c>
      <x:c r="R117" s="15" t="str">
        <x:v>50 eps; homepage signal.</x:v>
      </x:c>
      <x:c r="S117" s="15" t="str">
        <x:v>B / Useful verified</x:v>
      </x:c>
      <x:c r="T117" s="18" t="n">
        <x:v>78</x:v>
      </x:c>
      <x:c r="U117" s="15" t="str">
        <x:v>B_Strong</x:v>
      </x:c>
      <x:c r="V117" s="15" t="str">
        <x:v>KEEP</x:v>
      </x:c>
      <x:c r="W117" s="15" t="str"/>
      <x:c r="X117" s="15" t="str"/>
      <x:c r="Y117" s="15" t="str">
        <x:v>https://www.dramaboxdb.com/</x:v>
      </x:c>
      <x:c r="Z117" s="15" t="str"/>
    </x:row>
    <x:row r="118">
      <x:c r="A118" s="15" t="str">
        <x:v>L0117</x:v>
      </x:c>
      <x:c r="B118" s="15" t="str">
        <x:v>2026-02</x:v>
      </x:c>
      <x:c r="C118" s="15" t="str">
        <x:v>DramaBox</x:v>
      </x:c>
      <x:c r="D118" s="15" t="str">
        <x:v>Base_XLSX</x:v>
      </x:c>
      <x:c r="E118" s="15" t="n">
        <x:v>5</x:v>
      </x:c>
      <x:c r="F118" s="15" t="str">
        <x:v>Base only</x:v>
      </x:c>
      <x:c r="G118" s="15" t="str">
        <x:v>Queen Mom Rules</x:v>
      </x:c>
      <x:c r="H118" s="15" t="str">
        <x:v>Queen Mom Rules</x:v>
      </x:c>
      <x:c r="I118" s="15" t="str">
        <x:v>Live-action/dubbed; AIGC not flagged</x:v>
      </x:c>
      <x:c r="J118" s="15" t="str">
        <x:v>Not flagged</x:v>
      </x:c>
      <x:c r="K118" s="15" t="str">
        <x:v>Female / Family-romance</x:v>
      </x:c>
      <x:c r="L118" s="15" t="str">
        <x:v>Family / Strong Female Lead / CEO</x:v>
      </x:c>
      <x:c r="M118" s="15" t="str">
        <x:v>High-status partner/authority + Child/family reunion</x:v>
      </x:c>
      <x:c r="N118" s="15" t="str">
        <x:v>강한 케미·보호/소유 신호를 주되 감정 확정은 지연</x:v>
      </x:c>
      <x:c r="O118" s="15" t="str">
        <x:v>Medium-High: 압도적 외모·의상·공간 미감으로 실사형 보상 강화</x:v>
      </x:c>
      <x:c r="P118" s="15" t="str">
        <x:v>엄마/여성 보스가 가족과 권력 문제를 정리하는 강한 여성 주인공물.</x:v>
      </x:c>
      <x:c r="Q118" s="15" t="str">
        <x:v>DramaBox Must-sees/Trending 영역 노출.</x:v>
      </x:c>
      <x:c r="R118" s="15" t="str">
        <x:v>63 eps; homepage signal.</x:v>
      </x:c>
      <x:c r="S118" s="15" t="str">
        <x:v>B / Useful verified</x:v>
      </x:c>
      <x:c r="T118" s="18" t="n">
        <x:v>78</x:v>
      </x:c>
      <x:c r="U118" s="15" t="str">
        <x:v>B_Strong</x:v>
      </x:c>
      <x:c r="V118" s="15" t="str">
        <x:v>KEEP</x:v>
      </x:c>
      <x:c r="W118" s="15" t="str"/>
      <x:c r="X118" s="15" t="str"/>
      <x:c r="Y118" s="15" t="str">
        <x:v>https://www.dramaboxdb.com/</x:v>
      </x:c>
      <x:c r="Z118" s="15" t="str"/>
    </x:row>
    <x:row r="119">
      <x:c r="A119" s="15" t="str">
        <x:v>L0118</x:v>
      </x:c>
      <x:c r="B119" s="15" t="str">
        <x:v>2026-03</x:v>
      </x:c>
      <x:c r="C119" s="15" t="str">
        <x:v>DramaBox</x:v>
      </x:c>
      <x:c r="D119" s="15" t="str">
        <x:v>Base_XLSX</x:v>
      </x:c>
      <x:c r="E119" s="15" t="n">
        <x:v>1</x:v>
      </x:c>
      <x:c r="F119" s="15" t="str">
        <x:v>Base only</x:v>
      </x:c>
      <x:c r="G119" s="15" t="str">
        <x:v>Fake Dating My Rich Nemesis</x:v>
      </x:c>
      <x:c r="H119" s="15" t="str">
        <x:v>Fake Dating My Rich Nemesis</x:v>
      </x:c>
      <x:c r="I119" s="15" t="str">
        <x:v>Live-action/dubbed; AIGC not flagged</x:v>
      </x:c>
      <x:c r="J119" s="15" t="str">
        <x:v>Not flagged</x:v>
      </x:c>
      <x:c r="K119" s="15" t="str">
        <x:v>Female / Romance</x:v>
      </x:c>
      <x:c r="L119" s="15" t="str">
        <x:v>Fake Dating / Rich Nemesis / Enemies-to-Lovers</x:v>
      </x:c>
      <x:c r="M119" s="15" t="str">
        <x:v>Core melodrama hook</x:v>
      </x:c>
      <x:c r="N119" s="15" t="str">
        <x:v>무료부에서는 결핍과 예고, 유료부에서는 보상/진실/역전</x:v>
      </x:c>
      <x:c r="O119" s="15" t="str">
        <x:v>Medium: 광고 컷·후킹 이미지 보강용</x:v>
      </x:c>
      <x:c r="P119" s="15" t="str">
        <x:v>부자 원수와 fake dating을 하며 적대가 로맨스로 변함.</x:v>
      </x:c>
      <x:c r="Q119" s="15" t="str">
        <x:v>DramaBox Trending 영역 노출.</x:v>
      </x:c>
      <x:c r="R119" s="15" t="str">
        <x:v>62 eps; homepage trending signal.</x:v>
      </x:c>
      <x:c r="S119" s="15" t="str">
        <x:v>B / Useful verified</x:v>
      </x:c>
      <x:c r="T119" s="18" t="n">
        <x:v>78</x:v>
      </x:c>
      <x:c r="U119" s="15" t="str">
        <x:v>B_Strong</x:v>
      </x:c>
      <x:c r="V119" s="15" t="str">
        <x:v>KEEP</x:v>
      </x:c>
      <x:c r="W119" s="15" t="str"/>
      <x:c r="X119" s="15" t="str"/>
      <x:c r="Y119" s="15" t="str">
        <x:v>https://www.dramaboxdb.com/</x:v>
      </x:c>
      <x:c r="Z119" s="15" t="str"/>
    </x:row>
    <x:row r="120">
      <x:c r="A120" s="15" t="str">
        <x:v>L0119</x:v>
      </x:c>
      <x:c r="B120" s="15" t="str">
        <x:v>2026-03</x:v>
      </x:c>
      <x:c r="C120" s="15" t="str">
        <x:v>DramaBox</x:v>
      </x:c>
      <x:c r="D120" s="15" t="str">
        <x:v>Base_XLSX</x:v>
      </x:c>
      <x:c r="E120" s="15" t="n">
        <x:v>2</x:v>
      </x:c>
      <x:c r="F120" s="15" t="str">
        <x:v>Base only</x:v>
      </x:c>
      <x:c r="G120" s="15" t="str">
        <x:v>Pucked by My Brother's Rival</x:v>
      </x:c>
      <x:c r="H120" s="15" t="str">
        <x:v>Pucked by My Brother's Rival</x:v>
      </x:c>
      <x:c r="I120" s="15" t="str">
        <x:v>Live-action/dubbed; AIGC not flagged</x:v>
      </x:c>
      <x:c r="J120" s="15" t="str">
        <x:v>Not flagged</x:v>
      </x:c>
      <x:c r="K120" s="15" t="str">
        <x:v>Female / Romance</x:v>
      </x:c>
      <x:c r="L120" s="15" t="str">
        <x:v>Hockey / Brother’s Rival / Enemies-to-Lovers</x:v>
      </x:c>
      <x:c r="M120" s="15" t="str">
        <x:v>Campus/sports heat</x:v>
      </x:c>
      <x:c r="N120" s="15" t="str">
        <x:v>강한 케미·보호/소유 신호를 주되 감정 확정은 지연</x:v>
      </x:c>
      <x:c r="O120" s="15" t="str">
        <x:v>Medium-High: 압도적 외모·의상·공간 미감으로 실사형 보상 강화</x:v>
      </x:c>
      <x:c r="P120" s="15" t="str">
        <x:v>오빠의 라이벌 하키 선수와 얽히는 스포츠/캠퍼스풍 로맨스.</x:v>
      </x:c>
      <x:c r="Q120" s="15" t="str">
        <x:v>DramaBox Trending/resource pages 노출.</x:v>
      </x:c>
      <x:c r="R120" s="15" t="str">
        <x:v>51 eps; 2025-10 resource page signal.</x:v>
      </x:c>
      <x:c r="S120" s="15" t="str">
        <x:v>B / Useful verified</x:v>
      </x:c>
      <x:c r="T120" s="18" t="n">
        <x:v>78</x:v>
      </x:c>
      <x:c r="U120" s="15" t="str">
        <x:v>B_Strong</x:v>
      </x:c>
      <x:c r="V120" s="15" t="str">
        <x:v>KEEP</x:v>
      </x:c>
      <x:c r="W120" s="15" t="str"/>
      <x:c r="X120" s="15" t="str"/>
      <x:c r="Y120" s="15" t="str">
        <x:v>https://www.dramaboxdb.com/</x:v>
      </x:c>
      <x:c r="Z120" s="15" t="str"/>
    </x:row>
    <x:row r="121">
      <x:c r="A121" s="15" t="str">
        <x:v>L0120</x:v>
      </x:c>
      <x:c r="B121" s="15" t="str">
        <x:v>2026-03</x:v>
      </x:c>
      <x:c r="C121" s="15" t="str">
        <x:v>DramaBox</x:v>
      </x:c>
      <x:c r="D121" s="15" t="str">
        <x:v>Base_XLSX</x:v>
      </x:c>
      <x:c r="E121" s="15" t="n">
        <x:v>3</x:v>
      </x:c>
      <x:c r="F121" s="15" t="str">
        <x:v>Base only</x:v>
      </x:c>
      <x:c r="G121" s="15" t="str">
        <x:v>A Deal With My Billionaire Donor</x:v>
      </x:c>
      <x:c r="H121" s="15" t="str">
        <x:v>A Deal With My Billionaire Donor</x:v>
      </x:c>
      <x:c r="I121" s="15" t="str">
        <x:v>Live-action/dubbed; AIGC not flagged</x:v>
      </x:c>
      <x:c r="J121" s="15" t="str">
        <x:v>Not flagged</x:v>
      </x:c>
      <x:c r="K121" s="15" t="str">
        <x:v>Female / Romance</x:v>
      </x:c>
      <x:c r="L121" s="15" t="str">
        <x:v>Billionaire Donor / Fertility / Contract</x:v>
      </x:c>
      <x:c r="M121" s="15" t="str">
        <x:v>High-status partner/authority</x:v>
      </x:c>
      <x:c r="N121" s="15" t="str">
        <x:v>강한 케미·보호/소유 신호를 주되 감정 확정은 지연</x:v>
      </x:c>
      <x:c r="O121" s="15" t="str">
        <x:v>Medium-High: 압도적 외모·의상·공간 미감으로 실사형 보상 강화</x:v>
      </x:c>
      <x:c r="P121" s="15" t="str">
        <x:v>난소부전 진단을 받은 여성이 억만장자 Ethan과 sperm/inheritance 계약을 맺음.</x:v>
      </x:c>
      <x:c r="Q121" s="15" t="str">
        <x:v>DramaBox resource article 확인.</x:v>
      </x:c>
      <x:c r="R121" s="15" t="str">
        <x:v>2025-10 resource signal; reusable hit trope.</x:v>
      </x:c>
      <x:c r="S121" s="15" t="str">
        <x:v>C / Watch</x:v>
      </x:c>
      <x:c r="T121" s="18" t="n">
        <x:v>63</x:v>
      </x:c>
      <x:c r="U121" s="15" t="str">
        <x:v>C_Watch</x:v>
      </x:c>
      <x:c r="V121" s="15" t="str">
        <x:v>KEEP</x:v>
      </x:c>
      <x:c r="W121" s="15" t="str"/>
      <x:c r="X121" s="15" t="str"/>
      <x:c r="Y121" s="15" t="str">
        <x:v>https://www.dramaboxdb.com/</x:v>
      </x:c>
      <x:c r="Z121" s="15" t="str">
        <x:v>공식 성과/광고 집행량 재확인.</x:v>
      </x:c>
    </x:row>
    <x:row r="122">
      <x:c r="A122" s="15" t="str">
        <x:v>L0121</x:v>
      </x:c>
      <x:c r="B122" s="15" t="str">
        <x:v>2026-03</x:v>
      </x:c>
      <x:c r="C122" s="15" t="str">
        <x:v>DramaBox</x:v>
      </x:c>
      <x:c r="D122" s="15" t="str">
        <x:v>Base_XLSX</x:v>
      </x:c>
      <x:c r="E122" s="15" t="n">
        <x:v>4</x:v>
      </x:c>
      <x:c r="F122" s="15" t="str">
        <x:v>Base only</x:v>
      </x:c>
      <x:c r="G122" s="15" t="str">
        <x:v>30 Days to be the Mafia King's Bride</x:v>
      </x:c>
      <x:c r="H122" s="15" t="str">
        <x:v>30 Days to be the Mafia King's Bride</x:v>
      </x:c>
      <x:c r="I122" s="15" t="str">
        <x:v>Live-action/dubbed; AIGC not flagged</x:v>
      </x:c>
      <x:c r="J122" s="15" t="str">
        <x:v>Not flagged</x:v>
      </x:c>
      <x:c r="K122" s="15" t="str">
        <x:v>Female / Romance</x:v>
      </x:c>
      <x:c r="L122" s="15" t="str">
        <x:v>Mafia King / Bride Deadline / Forced Marriage</x:v>
      </x:c>
      <x:c r="M122" s="15" t="str">
        <x:v>Hidden-identity reveal + High-status partner/authority</x:v>
      </x:c>
      <x:c r="N122" s="15" t="str">
        <x:v>강한 케미·보호/소유 신호를 주되 감정 확정은 지연</x:v>
      </x:c>
      <x:c r="O122" s="15" t="str">
        <x:v>Medium-High: 압도적 외모·의상·공간 미감으로 실사형 보상 강화</x:v>
      </x:c>
      <x:c r="P122" s="15" t="str">
        <x:v>30일 안에 마피아 왕의 신부가 되어야 하는 forced bride 로맨스.</x:v>
      </x:c>
      <x:c r="Q122" s="15" t="str">
        <x:v>DramaBox Hidden Gems 영역 노출.</x:v>
      </x:c>
      <x:c r="R122" s="15" t="str">
        <x:v>52 eps; homepage signal.</x:v>
      </x:c>
      <x:c r="S122" s="15" t="str">
        <x:v>B / Useful verified</x:v>
      </x:c>
      <x:c r="T122" s="18" t="n">
        <x:v>78</x:v>
      </x:c>
      <x:c r="U122" s="15" t="str">
        <x:v>B_Strong</x:v>
      </x:c>
      <x:c r="V122" s="15" t="str">
        <x:v>KEEP</x:v>
      </x:c>
      <x:c r="W122" s="15" t="str"/>
      <x:c r="X122" s="15" t="str"/>
      <x:c r="Y122" s="15" t="str">
        <x:v>https://www.dramaboxdb.com/</x:v>
      </x:c>
      <x:c r="Z122" s="15" t="str"/>
    </x:row>
    <x:row r="123">
      <x:c r="A123" s="15" t="str">
        <x:v>L0122</x:v>
      </x:c>
      <x:c r="B123" s="15" t="str">
        <x:v>2026-03</x:v>
      </x:c>
      <x:c r="C123" s="15" t="str">
        <x:v>DramaBox</x:v>
      </x:c>
      <x:c r="D123" s="15" t="str">
        <x:v>Base_XLSX</x:v>
      </x:c>
      <x:c r="E123" s="15" t="n">
        <x:v>5</x:v>
      </x:c>
      <x:c r="F123" s="15" t="str">
        <x:v>Base only</x:v>
      </x:c>
      <x:c r="G123" s="15" t="str">
        <x:v>Sex Education By My Best Friend</x:v>
      </x:c>
      <x:c r="H123" s="15" t="str">
        <x:v>Sex Education By My Best Friend</x:v>
      </x:c>
      <x:c r="I123" s="15" t="str">
        <x:v>Live-action/dubbed; AIGC not flagged</x:v>
      </x:c>
      <x:c r="J123" s="15" t="str">
        <x:v>Not flagged</x:v>
      </x:c>
      <x:c r="K123" s="15" t="str">
        <x:v>Female / Romance</x:v>
      </x:c>
      <x:c r="L123" s="15" t="str">
        <x:v>Best Friend / Sex Education / High-Heat Romance</x:v>
      </x:c>
      <x:c r="M123" s="15" t="str">
        <x:v>Revenge/regret payoff</x:v>
      </x:c>
      <x:c r="N123" s="15" t="str">
        <x:v>무료부에서는 결핍과 예고, 유료부에서는 보상/진실/역전</x:v>
      </x:c>
      <x:c r="O123" s="15" t="str">
        <x:v>Medium: 광고 컷·후킹 이미지 보강용</x:v>
      </x:c>
      <x:c r="P123" s="15" t="str">
        <x:v>베스트프렌드와 성교육/로맨스 경계가 무너지는 고열도 관계극.</x:v>
      </x:c>
      <x:c r="Q123" s="15" t="str">
        <x:v>DramaBox Hidden Gems 영역 노출.</x:v>
      </x:c>
      <x:c r="R123" s="15" t="str">
        <x:v>58 eps; homepage signal.</x:v>
      </x:c>
      <x:c r="S123" s="15" t="str">
        <x:v>B / Useful verified</x:v>
      </x:c>
      <x:c r="T123" s="18" t="n">
        <x:v>78</x:v>
      </x:c>
      <x:c r="U123" s="15" t="str">
        <x:v>B_Strong</x:v>
      </x:c>
      <x:c r="V123" s="15" t="str">
        <x:v>KEEP</x:v>
      </x:c>
      <x:c r="W123" s="15" t="str"/>
      <x:c r="X123" s="15" t="str"/>
      <x:c r="Y123" s="15" t="str">
        <x:v>https://www.dramaboxdb.com/</x:v>
      </x:c>
      <x:c r="Z123" s="15" t="str"/>
    </x:row>
    <x:row r="124">
      <x:c r="A124" s="15" t="str">
        <x:v>L0123</x:v>
      </x:c>
      <x:c r="B124" s="15" t="str">
        <x:v>2026-04</x:v>
      </x:c>
      <x:c r="C124" s="15" t="str">
        <x:v>DramaBox</x:v>
      </x:c>
      <x:c r="D124" s="15" t="str">
        <x:v>Base+Supplement_DOCX</x:v>
      </x:c>
      <x:c r="E124" s="15" t="n">
        <x:v>1</x:v>
      </x:c>
      <x:c r="F124" s="15" t="str">
        <x:v>Merged / reinforced</x:v>
      </x:c>
      <x:c r="G124" s="15" t="str">
        <x:v>Faking It with the Hockey Captain</x:v>
      </x:c>
      <x:c r="H124" s="15" t="str">
        <x:v>Faking It with the Hockey Captain</x:v>
      </x:c>
      <x:c r="I124" s="15" t="str">
        <x:v>Live-action/dubbed; AIGC not flagged</x:v>
      </x:c>
      <x:c r="J124" s="15" t="str">
        <x:v>Not flagged</x:v>
      </x:c>
      <x:c r="K124" s="15" t="str">
        <x:v>Female / Romance</x:v>
      </x:c>
      <x:c r="L124" s="15" t="str">
        <x:v>Hockey Captain / Fake Dating / Enemies-to-Lovers</x:v>
      </x:c>
      <x:c r="M124" s="15" t="str">
        <x:v>Hidden-identity reveal + High-status partner/authority + Campus/sports heat</x:v>
      </x:c>
      <x:c r="N124" s="15" t="str">
        <x:v>강한 케미·보호/소유 신호를 주되 감정 확정은 지연</x:v>
      </x:c>
      <x:c r="O124" s="15" t="str">
        <x:v>Medium-High: 압도적 외모·의상·공간 미감으로 실사형 보상 강화</x:v>
      </x:c>
      <x:c r="P124" s="15" t="str">
        <x:v>하키 캡틴과 fake relationship을 하며 적대와 로맨스가 뒤섞임.</x:v>
      </x:c>
      <x:c r="Q124" s="15" t="str">
        <x:v>DramaBox Must-sees 영역 노출.</x:v>
      </x:c>
      <x:c r="R124" s="15" t="str">
        <x:v>61 eps; homepage must-see signal.</x:v>
      </x:c>
      <x:c r="S124" s="15" t="str">
        <x:v>A / Strong verified</x:v>
      </x:c>
      <x:c r="T124" s="18" t="n">
        <x:v>100</x:v>
      </x:c>
      <x:c r="U124" s="15" t="str">
        <x:v>A_Core</x:v>
      </x:c>
      <x:c r="V124" s="15" t="str">
        <x:v>MERGE_REINFORCE</x:v>
      </x:c>
      <x:c r="W124" s="15" t="str"/>
      <x:c r="X124" s="15" t="str">
        <x:v>보강자료 일치: Reddit에는 링크를 달라는 댓글이 연속적으로 붙었고, 공식/관련 Facebook엔 8.9K views in 5 hours, Instagram엔 57 comments가 노출됐다.</x:v>
      </x:c>
      <x:c r="Y124" s="15" t="str">
        <x:v>https://www.dramaboxdb.com/
https://www.dramabox.com/drama/42000010167/Faking-It-with-the-Hockey-Captain
https://www.reddit.com/r/ReelShorts/comments/1t9r7nh/faking_it_with_the_hockey_captain/</x:v>
      </x:c>
      <x:c r="Z124" s="15" t="str"/>
    </x:row>
    <x:row r="125">
      <x:c r="A125" s="15" t="str">
        <x:v>L0124</x:v>
      </x:c>
      <x:c r="B125" s="15" t="str">
        <x:v>2026-04</x:v>
      </x:c>
      <x:c r="C125" s="15" t="str">
        <x:v>DramaBox</x:v>
      </x:c>
      <x:c r="D125" s="15" t="str">
        <x:v>Base_XLSX</x:v>
      </x:c>
      <x:c r="E125" s="15" t="n">
        <x:v>2</x:v>
      </x:c>
      <x:c r="F125" s="15" t="str">
        <x:v>Base only</x:v>
      </x:c>
      <x:c r="G125" s="15" t="str">
        <x:v>From Mail-Order Bride To Billionaire's Wife</x:v>
      </x:c>
      <x:c r="H125" s="15" t="str">
        <x:v>From Mail-Order Bride To Billionaire's Wife</x:v>
      </x:c>
      <x:c r="I125" s="15" t="str">
        <x:v>Live-action/dubbed; AIGC not flagged</x:v>
      </x:c>
      <x:c r="J125" s="15" t="str">
        <x:v>Not flagged</x:v>
      </x:c>
      <x:c r="K125" s="15" t="str">
        <x:v>Female / Romance</x:v>
      </x:c>
      <x:c r="L125" s="15" t="str">
        <x:v>Mail-Order Bride / Billionaire Wife / Concealed Identity</x:v>
      </x:c>
      <x:c r="M125" s="15" t="str">
        <x:v>High-status partner/authority</x:v>
      </x:c>
      <x:c r="N125" s="15" t="str">
        <x:v>정체/권력 공개 직전까지 결핍·오해를 누적</x:v>
      </x:c>
      <x:c r="O125" s="15" t="str">
        <x:v>Medium-High: 압도적 외모·의상·공간 미감으로 실사형 보상 강화</x:v>
      </x:c>
      <x:c r="P125" s="15" t="str">
        <x:v>mail-order bride가 억만장자의 아내로 상승하는 선결혼/신분 반전 로맨스.</x:v>
      </x:c>
      <x:c r="Q125" s="15" t="str">
        <x:v>DramaBox Must-sees/Hidden Gems 영역 노출.</x:v>
      </x:c>
      <x:c r="R125" s="15" t="str">
        <x:v>51 eps; homepage signal.</x:v>
      </x:c>
      <x:c r="S125" s="15" t="str">
        <x:v>B / Useful verified</x:v>
      </x:c>
      <x:c r="T125" s="18" t="n">
        <x:v>78</x:v>
      </x:c>
      <x:c r="U125" s="15" t="str">
        <x:v>B_Strong</x:v>
      </x:c>
      <x:c r="V125" s="15" t="str">
        <x:v>KEEP</x:v>
      </x:c>
      <x:c r="W125" s="15" t="str"/>
      <x:c r="X125" s="15" t="str"/>
      <x:c r="Y125" s="15" t="str">
        <x:v>https://www.dramaboxdb.com/</x:v>
      </x:c>
      <x:c r="Z125" s="15" t="str"/>
    </x:row>
    <x:row r="126">
      <x:c r="A126" s="15" t="str">
        <x:v>L0125</x:v>
      </x:c>
      <x:c r="B126" s="15" t="str">
        <x:v>2026-04</x:v>
      </x:c>
      <x:c r="C126" s="15" t="str">
        <x:v>DramaBox</x:v>
      </x:c>
      <x:c r="D126" s="15" t="str">
        <x:v>Base_XLSX</x:v>
      </x:c>
      <x:c r="E126" s="15" t="n">
        <x:v>3</x:v>
      </x:c>
      <x:c r="F126" s="15" t="str">
        <x:v>Base only</x:v>
      </x:c>
      <x:c r="G126" s="15" t="str">
        <x:v>I'm Nothing but a Mortal (DUBBED)</x:v>
      </x:c>
      <x:c r="H126" s="15" t="str">
        <x:v>I'm Nothing but a Mortal (DUBBED)</x:v>
      </x:c>
      <x:c r="I126" s="15" t="str">
        <x:v>Live-action/dubbed; AIGC candidate fantasy</x:v>
      </x:c>
      <x:c r="J126" s="15" t="str">
        <x:v>AIGC/Animation candidate</x:v>
      </x:c>
      <x:c r="K126" s="15" t="str">
        <x:v>Mixed / General</x:v>
      </x:c>
      <x:c r="L126" s="15" t="str">
        <x:v>Fantasy / Mortal / Power Reveal</x:v>
      </x:c>
      <x:c r="M126" s="15" t="str">
        <x:v>Core melodrama hook</x:v>
      </x:c>
      <x:c r="N126" s="15" t="str">
        <x:v>무료부에서는 결핍과 예고, 유료부에서는 보상/진실/역전</x:v>
      </x:c>
      <x:c r="O126" s="15" t="str">
        <x:v>High: VFX·세계관·시스템 UI·비현실 스케일을 직접 보상화</x:v>
      </x:c>
      <x:c r="P126" s="15" t="str">
        <x:v>평범한 인간처럼 보이는 인물이 판타지 권력·신적 세계와 충돌.</x:v>
      </x:c>
      <x:c r="Q126" s="15" t="str">
        <x:v>DramaBox Trending 영역 노출.</x:v>
      </x:c>
      <x:c r="R126" s="15" t="str">
        <x:v>80 eps; homepage trending signal.</x:v>
      </x:c>
      <x:c r="S126" s="15" t="str">
        <x:v>B / Useful verified</x:v>
      </x:c>
      <x:c r="T126" s="18" t="n">
        <x:v>78</x:v>
      </x:c>
      <x:c r="U126" s="15" t="str">
        <x:v>B_Strong</x:v>
      </x:c>
      <x:c r="V126" s="15" t="str">
        <x:v>KEEP</x:v>
      </x:c>
      <x:c r="W126" s="15" t="str"/>
      <x:c r="X126" s="15" t="str"/>
      <x:c r="Y126" s="15" t="str">
        <x:v>https://www.dramaboxdb.com/</x:v>
      </x:c>
      <x:c r="Z126" s="15" t="str">
        <x:v>제작 AIGC 직접 표기 확인 필요.</x:v>
      </x:c>
    </x:row>
    <x:row r="127">
      <x:c r="A127" s="15" t="str">
        <x:v>L0126</x:v>
      </x:c>
      <x:c r="B127" s="15" t="str">
        <x:v>2026-04</x:v>
      </x:c>
      <x:c r="C127" s="15" t="str">
        <x:v>DramaBox</x:v>
      </x:c>
      <x:c r="D127" s="15" t="str">
        <x:v>Base_XLSX</x:v>
      </x:c>
      <x:c r="E127" s="15" t="n">
        <x:v>4</x:v>
      </x:c>
      <x:c r="F127" s="15" t="str">
        <x:v>Base only</x:v>
      </x:c>
      <x:c r="G127" s="15" t="str">
        <x:v>Forever Was a Lie</x:v>
      </x:c>
      <x:c r="H127" s="15" t="str">
        <x:v>Forever Was a Lie</x:v>
      </x:c>
      <x:c r="I127" s="15" t="str">
        <x:v>Live-action/dubbed; AIGC not flagged</x:v>
      </x:c>
      <x:c r="J127" s="15" t="str">
        <x:v>Not flagged</x:v>
      </x:c>
      <x:c r="K127" s="15" t="str">
        <x:v>Female / Romance</x:v>
      </x:c>
      <x:c r="L127" s="15" t="str">
        <x:v>CEO / Lie / Regret Romance</x:v>
      </x:c>
      <x:c r="M127" s="15" t="str">
        <x:v>Revenge/regret payoff + High-status partner/authority</x:v>
      </x:c>
      <x:c r="N127" s="15" t="str">
        <x:v>굴욕/배신 후 첫 반격을 예고하고 본격 응징은 지연</x:v>
      </x:c>
      <x:c r="O127" s="15" t="str">
        <x:v>Medium-High: 압도적 외모·의상·공간 미감으로 실사형 보상 강화</x:v>
      </x:c>
      <x:c r="P127" s="15" t="str">
        <x:v>영원하리라 믿은 관계가 거짓이었음을 드러내는 CEO/후회 로맨스.</x:v>
      </x:c>
      <x:c r="Q127" s="15" t="str">
        <x:v>DramaBox Trending 영역 노출.</x:v>
      </x:c>
      <x:c r="R127" s="15" t="str">
        <x:v>50 eps; homepage signal.</x:v>
      </x:c>
      <x:c r="S127" s="15" t="str">
        <x:v>B / Useful verified</x:v>
      </x:c>
      <x:c r="T127" s="18" t="n">
        <x:v>78</x:v>
      </x:c>
      <x:c r="U127" s="15" t="str">
        <x:v>B_Strong</x:v>
      </x:c>
      <x:c r="V127" s="15" t="str">
        <x:v>KEEP</x:v>
      </x:c>
      <x:c r="W127" s="15" t="str"/>
      <x:c r="X127" s="15" t="str"/>
      <x:c r="Y127" s="15" t="str">
        <x:v>https://www.dramaboxdb.com/</x:v>
      </x:c>
      <x:c r="Z127" s="15" t="str"/>
    </x:row>
    <x:row r="128">
      <x:c r="A128" s="15" t="str">
        <x:v>L0127</x:v>
      </x:c>
      <x:c r="B128" s="15" t="str">
        <x:v>2026-04</x:v>
      </x:c>
      <x:c r="C128" s="15" t="str">
        <x:v>DramaBox</x:v>
      </x:c>
      <x:c r="D128" s="15" t="str">
        <x:v>Base_XLSX</x:v>
      </x:c>
      <x:c r="E128" s="15" t="n">
        <x:v>5</x:v>
      </x:c>
      <x:c r="F128" s="15" t="str">
        <x:v>Base only</x:v>
      </x:c>
      <x:c r="G128" s="15" t="str">
        <x:v>Wait! Our Great-Grandma is 18 Years Old?</x:v>
      </x:c>
      <x:c r="H128" s="15" t="str">
        <x:v>Wait! Our Great-Grandma is 18 Years Old?</x:v>
      </x:c>
      <x:c r="I128" s="15" t="str">
        <x:v>Live-action/dubbed; AIGC candidate fantasy</x:v>
      </x:c>
      <x:c r="J128" s="15" t="str">
        <x:v>AIGC/Animation candidate</x:v>
      </x:c>
      <x:c r="K128" s="15" t="str">
        <x:v>Family regret / mixed</x:v>
      </x:c>
      <x:c r="L128" s="15" t="str">
        <x:v>Age Reversal / Family Fantasy / Comedy</x:v>
      </x:c>
      <x:c r="M128" s="15" t="str">
        <x:v>Child/family reunion</x:v>
      </x:c>
      <x:c r="N128" s="15" t="str">
        <x:v>무료부에서는 결핍과 예고, 유료부에서는 보상/진실/역전</x:v>
      </x:c>
      <x:c r="O128" s="15" t="str">
        <x:v>High: VFX·세계관·시스템 UI·비현실 스케일을 직접 보상화</x:v>
      </x:c>
      <x:c r="P128" s="15" t="str">
        <x:v>18세가 된 증조할머니라는 시간/나이 반전으로 가족·로맨스를 전개.</x:v>
      </x:c>
      <x:c r="Q128" s="15" t="str">
        <x:v>DramaBox Hidden Gems 영역 노출.</x:v>
      </x:c>
      <x:c r="R128" s="15" t="str">
        <x:v>56 eps; homepage + Korean article signal.</x:v>
      </x:c>
      <x:c r="S128" s="15" t="str">
        <x:v>B / Useful verified</x:v>
      </x:c>
      <x:c r="T128" s="18" t="n">
        <x:v>78</x:v>
      </x:c>
      <x:c r="U128" s="15" t="str">
        <x:v>B_Strong</x:v>
      </x:c>
      <x:c r="V128" s="15" t="str">
        <x:v>KEEP</x:v>
      </x:c>
      <x:c r="W128" s="15" t="str"/>
      <x:c r="X128" s="15" t="str"/>
      <x:c r="Y128" s="15" t="str">
        <x:v>https://www.dramaboxdb.com/</x:v>
      </x:c>
      <x:c r="Z128" s="15" t="str">
        <x:v>제작 AIGC 직접 표기 확인 필요.</x:v>
      </x:c>
    </x:row>
    <x:row r="129">
      <x:c r="A129" s="15" t="str">
        <x:v>L0128</x:v>
      </x:c>
      <x:c r="B129" s="15" t="str">
        <x:v>2026-05</x:v>
      </x:c>
      <x:c r="C129" s="15" t="str">
        <x:v>DramaBox</x:v>
      </x:c>
      <x:c r="D129" s="15" t="str">
        <x:v>Base_XLSX</x:v>
      </x:c>
      <x:c r="E129" s="15" t="n">
        <x:v>1</x:v>
      </x:c>
      <x:c r="F129" s="15" t="str">
        <x:v>Base only</x:v>
      </x:c>
      <x:c r="G129" s="15" t="str">
        <x:v>The Day My Stepbrother Knows My Dirty Secret</x:v>
      </x:c>
      <x:c r="H129" s="15" t="str">
        <x:v>The Day My Stepbrother Knows My Dirty Secret</x:v>
      </x:c>
      <x:c r="I129" s="15" t="str">
        <x:v>Live-action/dubbed; AIGC not flagged</x:v>
      </x:c>
      <x:c r="J129" s="15" t="str">
        <x:v>Not flagged</x:v>
      </x:c>
      <x:c r="K129" s="15" t="str">
        <x:v>Female / Romance</x:v>
      </x:c>
      <x:c r="L129" s="15" t="str">
        <x:v>Stepbrother / Dirty Secret / Enemies-to-Lovers</x:v>
      </x:c>
      <x:c r="M129" s="15" t="str">
        <x:v>Hidden-identity reveal</x:v>
      </x:c>
      <x:c r="N129" s="15" t="str">
        <x:v>정체/권력 공개 직전까지 결핍·오해를 누적</x:v>
      </x:c>
      <x:c r="O129" s="15" t="str">
        <x:v>Medium: 광고 컷·후킹 이미지 보강용</x:v>
      </x:c>
      <x:c r="P129" s="15" t="str">
        <x:v>현재 homepage 최상단 노출 stepbrother/secret 로맨스.</x:v>
      </x:c>
      <x:c r="Q129" s="15" t="str">
        <x:v>홈페이지 최상단 hot signal.</x:v>
      </x:c>
      <x:c r="R129" s="15" t="str">
        <x:v>56 eps; current homepage top row.</x:v>
      </x:c>
      <x:c r="S129" s="15" t="str">
        <x:v>A / Strong verified</x:v>
      </x:c>
      <x:c r="T129" s="18" t="n">
        <x:v>86</x:v>
      </x:c>
      <x:c r="U129" s="15" t="str">
        <x:v>A_Core</x:v>
      </x:c>
      <x:c r="V129" s="15" t="str">
        <x:v>KEEP</x:v>
      </x:c>
      <x:c r="W129" s="15" t="str"/>
      <x:c r="X129" s="15" t="str"/>
      <x:c r="Y129" s="15" t="str">
        <x:v>https://www.dramaboxdb.com/</x:v>
      </x:c>
      <x:c r="Z129" s="15" t="str"/>
    </x:row>
    <x:row r="130">
      <x:c r="A130" s="15" t="str">
        <x:v>L0129</x:v>
      </x:c>
      <x:c r="B130" s="15" t="str">
        <x:v>2026-05</x:v>
      </x:c>
      <x:c r="C130" s="15" t="str">
        <x:v>DramaBox</x:v>
      </x:c>
      <x:c r="D130" s="15" t="str">
        <x:v>Base_XLSX</x:v>
      </x:c>
      <x:c r="E130" s="15" t="n">
        <x:v>2</x:v>
      </x:c>
      <x:c r="F130" s="15" t="str">
        <x:v>Base only</x:v>
      </x:c>
      <x:c r="G130" s="15" t="str">
        <x:v>Craving My Brother’s Best Friend</x:v>
      </x:c>
      <x:c r="H130" s="15" t="str">
        <x:v>Craving My Brother’s Best Friend</x:v>
      </x:c>
      <x:c r="I130" s="15" t="str">
        <x:v>Live-action/dubbed; AIGC not flagged</x:v>
      </x:c>
      <x:c r="J130" s="15" t="str">
        <x:v>Not flagged</x:v>
      </x:c>
      <x:c r="K130" s="15" t="str">
        <x:v>Mixed / General</x:v>
      </x:c>
      <x:c r="L130" s="15" t="str">
        <x:v>Brother’s Best Friend / Roommate / Fanfic Accident</x:v>
      </x:c>
      <x:c r="M130" s="15" t="str">
        <x:v>Core melodrama hook</x:v>
      </x:c>
      <x:c r="N130" s="15" t="str">
        <x:v>무료부에서는 결핍과 예고, 유료부에서는 보상/진실/역전</x:v>
      </x:c>
      <x:c r="O130" s="15" t="str">
        <x:v>Medium: 광고 컷·후킹 이미지 보강용</x:v>
      </x:c>
      <x:c r="P130" s="15" t="str">
        <x:v>현재 homepage 최상단 노출 brother’s best friend 로맨스.</x:v>
      </x:c>
      <x:c r="Q130" s="15" t="str">
        <x:v>홈페이지 최상단 hot signal.</x:v>
      </x:c>
      <x:c r="R130" s="15" t="str">
        <x:v>56 eps; current homepage top row.</x:v>
      </x:c>
      <x:c r="S130" s="15" t="str">
        <x:v>A / Strong verified</x:v>
      </x:c>
      <x:c r="T130" s="18" t="n">
        <x:v>86</x:v>
      </x:c>
      <x:c r="U130" s="15" t="str">
        <x:v>A_Core</x:v>
      </x:c>
      <x:c r="V130" s="15" t="str">
        <x:v>KEEP</x:v>
      </x:c>
      <x:c r="W130" s="15" t="str"/>
      <x:c r="X130" s="15" t="str"/>
      <x:c r="Y130" s="15" t="str">
        <x:v>https://www.dramaboxdb.com/</x:v>
      </x:c>
      <x:c r="Z130" s="15" t="str"/>
    </x:row>
    <x:row r="131">
      <x:c r="A131" s="15" t="str">
        <x:v>L0130</x:v>
      </x:c>
      <x:c r="B131" s="15" t="str">
        <x:v>2026-05</x:v>
      </x:c>
      <x:c r="C131" s="15" t="str">
        <x:v>DramaBox</x:v>
      </x:c>
      <x:c r="D131" s="15" t="str">
        <x:v>Base_XLSX</x:v>
      </x:c>
      <x:c r="E131" s="15" t="n">
        <x:v>3</x:v>
      </x:c>
      <x:c r="F131" s="15" t="str">
        <x:v>Base only</x:v>
      </x:c>
      <x:c r="G131" s="15" t="str">
        <x:v>His Love Was A Lie</x:v>
      </x:c>
      <x:c r="H131" s="15" t="str">
        <x:v>His Love Was A Lie</x:v>
      </x:c>
      <x:c r="I131" s="15" t="str">
        <x:v>Live-action/dubbed; AIGC not flagged</x:v>
      </x:c>
      <x:c r="J131" s="15" t="str">
        <x:v>Not flagged</x:v>
      </x:c>
      <x:c r="K131" s="15" t="str">
        <x:v>Female / Romance</x:v>
      </x:c>
      <x:c r="L131" s="15" t="str">
        <x:v>Toxic Relationship / Cheating / Regret</x:v>
      </x:c>
      <x:c r="M131" s="15" t="str">
        <x:v>Revenge/regret payoff</x:v>
      </x:c>
      <x:c r="N131" s="15" t="str">
        <x:v>굴욕/배신 후 첫 반격을 예고하고 본격 응징은 지연</x:v>
      </x:c>
      <x:c r="O131" s="15" t="str">
        <x:v>Medium: 광고 컷·후킹 이미지 보강용</x:v>
      </x:c>
      <x:c r="P131" s="15" t="str">
        <x:v>현재 homepage 최상단 노출 toxic marriage 후회극.</x:v>
      </x:c>
      <x:c r="Q131" s="15" t="str">
        <x:v>홈페이지 최상단 hot signal.</x:v>
      </x:c>
      <x:c r="R131" s="15" t="str">
        <x:v>57 eps; current homepage top row.</x:v>
      </x:c>
      <x:c r="S131" s="15" t="str">
        <x:v>A / Strong verified</x:v>
      </x:c>
      <x:c r="T131" s="18" t="n">
        <x:v>86</x:v>
      </x:c>
      <x:c r="U131" s="15" t="str">
        <x:v>A_Core</x:v>
      </x:c>
      <x:c r="V131" s="15" t="str">
        <x:v>KEEP</x:v>
      </x:c>
      <x:c r="W131" s="15" t="str"/>
      <x:c r="X131" s="15" t="str"/>
      <x:c r="Y131" s="15" t="str">
        <x:v>https://www.dramaboxdb.com/</x:v>
      </x:c>
      <x:c r="Z131" s="15" t="str"/>
    </x:row>
    <x:row r="132">
      <x:c r="A132" s="15" t="str">
        <x:v>L0131</x:v>
      </x:c>
      <x:c r="B132" s="15" t="str">
        <x:v>2026-05</x:v>
      </x:c>
      <x:c r="C132" s="15" t="str">
        <x:v>DramaBox</x:v>
      </x:c>
      <x:c r="D132" s="15" t="str">
        <x:v>Base_XLSX</x:v>
      </x:c>
      <x:c r="E132" s="15" t="n">
        <x:v>4</x:v>
      </x:c>
      <x:c r="F132" s="15" t="str">
        <x:v>Base only</x:v>
      </x:c>
      <x:c r="G132" s="15" t="str">
        <x:v>Watch Out, I’m The Lady Boss</x:v>
      </x:c>
      <x:c r="H132" s="15" t="str">
        <x:v>Watch Out, I’m The Lady Boss</x:v>
      </x:c>
      <x:c r="I132" s="15" t="str">
        <x:v>Live-action/dubbed; AIGC not flagged</x:v>
      </x:c>
      <x:c r="J132" s="15" t="str">
        <x:v>Not flagged</x:v>
      </x:c>
      <x:c r="K132" s="15" t="str">
        <x:v>Female / Revenge-SFL</x:v>
      </x:c>
      <x:c r="L132" s="15" t="str">
        <x:v>Strong Female Lead / Revenge / Lady Boss</x:v>
      </x:c>
      <x:c r="M132" s="15" t="str">
        <x:v>Revenge/regret payoff + Progression/spectacle</x:v>
      </x:c>
      <x:c r="N132" s="15" t="str">
        <x:v>굴욕/배신 후 첫 반격을 예고하고 본격 응징은 지연</x:v>
      </x:c>
      <x:c r="O132" s="15" t="str">
        <x:v>High: VFX·세계관·시스템 UI·비현실 스케일을 직접 보상화</x:v>
      </x:c>
      <x:c r="P132" s="15" t="str">
        <x:v>현재 Trending 영역에서도 반복 노출되는 여성 보스 사이다.</x:v>
      </x:c>
      <x:c r="Q132" s="15" t="str">
        <x:v>Homepage Trending + DramaBoxDB 2.4K views.</x:v>
      </x:c>
      <x:c r="R132" s="15" t="str">
        <x:v>64 eps; continuing popularity signal.</x:v>
      </x:c>
      <x:c r="S132" s="15" t="str">
        <x:v>B / Useful verified</x:v>
      </x:c>
      <x:c r="T132" s="18" t="n">
        <x:v>78</x:v>
      </x:c>
      <x:c r="U132" s="15" t="str">
        <x:v>B_Strong</x:v>
      </x:c>
      <x:c r="V132" s="15" t="str">
        <x:v>KEEP</x:v>
      </x:c>
      <x:c r="W132" s="15" t="str"/>
      <x:c r="X132" s="15" t="str"/>
      <x:c r="Y132" s="15" t="str">
        <x:v>https://www.dramaboxdb.com/ | https://www.dramaboxdb.com/content/critique/5297_watch-out-im-the-lady-boss-full-episodes</x:v>
      </x:c>
      <x:c r="Z132" s="15" t="str"/>
    </x:row>
    <x:row r="133">
      <x:c r="A133" s="15" t="str">
        <x:v>L0132</x:v>
      </x:c>
      <x:c r="B133" s="15" t="str">
        <x:v>2026-05</x:v>
      </x:c>
      <x:c r="C133" s="15" t="str">
        <x:v>DramaBox</x:v>
      </x:c>
      <x:c r="D133" s="15" t="str">
        <x:v>Base_XLSX</x:v>
      </x:c>
      <x:c r="E133" s="15" t="n">
        <x:v>5</x:v>
      </x:c>
      <x:c r="F133" s="15" t="str">
        <x:v>Base only</x:v>
      </x:c>
      <x:c r="G133" s="15" t="str">
        <x:v>Fated to My Ruthless Alpha</x:v>
      </x:c>
      <x:c r="H133" s="15" t="str">
        <x:v>Fated to My Ruthless Alpha</x:v>
      </x:c>
      <x:c r="I133" s="15" t="str">
        <x:v>Live-action/dubbed; AIGC not flagged</x:v>
      </x:c>
      <x:c r="J133" s="15" t="str">
        <x:v>Not flagged</x:v>
      </x:c>
      <x:c r="K133" s="15" t="str">
        <x:v>Female / Romance</x:v>
      </x:c>
      <x:c r="L133" s="15" t="str">
        <x:v>Werewolf / Fated Mate / Ruthless Alpha</x:v>
      </x:c>
      <x:c r="M133" s="15" t="str">
        <x:v>Hidden-identity reveal + High-status partner/authority</x:v>
      </x:c>
      <x:c r="N133" s="15" t="str">
        <x:v>정체/권력 공개 직전까지 결핍·오해를 누적</x:v>
      </x:c>
      <x:c r="O133" s="15" t="str">
        <x:v>Medium-High: 압도적 외모·의상·공간 미감으로 실사형 보상 강화</x:v>
      </x:c>
      <x:c r="P133" s="15" t="str">
        <x:v>현재 Must-sees/Hidden Gems 반복 노출 fated alpha romance.</x:v>
      </x:c>
      <x:c r="Q133" s="15" t="str">
        <x:v>Homepage repeated placement.</x:v>
      </x:c>
      <x:c r="R133" s="15" t="str">
        <x:v>60 eps; homepage signal.</x:v>
      </x:c>
      <x:c r="S133" s="15" t="str">
        <x:v>B / Useful verified</x:v>
      </x:c>
      <x:c r="T133" s="18" t="n">
        <x:v>78</x:v>
      </x:c>
      <x:c r="U133" s="15" t="str">
        <x:v>B_Strong</x:v>
      </x:c>
      <x:c r="V133" s="15" t="str">
        <x:v>KEEP</x:v>
      </x:c>
      <x:c r="W133" s="15" t="str"/>
      <x:c r="X133" s="15" t="str"/>
      <x:c r="Y133" s="15" t="str">
        <x:v>https://www.dramaboxdb.com/</x:v>
      </x:c>
      <x:c r="Z133" s="15" t="str"/>
    </x:row>
    <x:row r="134">
      <x:c r="A134" s="15" t="str">
        <x:v>L0133</x:v>
      </x:c>
      <x:c r="B134" s="15" t="str">
        <x:v>2025-06</x:v>
      </x:c>
      <x:c r="C134" s="15" t="str">
        <x:v>GoodShort</x:v>
      </x:c>
      <x:c r="D134" s="15" t="str">
        <x:v>Base_XLSX</x:v>
      </x:c>
      <x:c r="E134" s="15" t="n">
        <x:v>1</x:v>
      </x:c>
      <x:c r="F134" s="15" t="str">
        <x:v>Base only</x:v>
      </x:c>
      <x:c r="G134" s="15" t="str">
        <x:v>Perfect Love</x:v>
      </x:c>
      <x:c r="H134" s="15" t="str">
        <x:v>Perfect Love</x:v>
      </x:c>
      <x:c r="I134" s="15" t="str">
        <x:v>Live-action/dubbed; AIGC not flagged</x:v>
      </x:c>
      <x:c r="J134" s="15" t="str">
        <x:v>Not flagged</x:v>
      </x:c>
      <x:c r="K134" s="15" t="str">
        <x:v>Female / Romance</x:v>
      </x:c>
      <x:c r="L134" s="15" t="str">
        <x:v>Romance / Feel-Good</x:v>
      </x:c>
      <x:c r="M134" s="15" t="str">
        <x:v>Core melodrama hook</x:v>
      </x:c>
      <x:c r="N134" s="15" t="str">
        <x:v>무료부에서는 결핍과 예고, 유료부에서는 보상/진실/역전</x:v>
      </x:c>
      <x:c r="O134" s="15" t="str">
        <x:v>Medium: 광고 컷·후킹 이미지 보강용</x:v>
      </x:c>
      <x:c r="P134" s="15" t="str">
        <x:v>GoodShort 대표 romance hit로 분류되는 관계 완성형 로맨스.</x:v>
      </x:c>
      <x:c r="Q134" s="15" t="str">
        <x:v>GoodShort Top 10 list에서 1.4M views, 370.6K followers, 16.6K likes로 언급.</x:v>
      </x:c>
      <x:c r="R134" s="15" t="str">
        <x:v>Legacy top performance signal.</x:v>
      </x:c>
      <x:c r="S134" s="15" t="str">
        <x:v>A / Strong verified</x:v>
      </x:c>
      <x:c r="T134" s="18" t="n">
        <x:v>96</x:v>
      </x:c>
      <x:c r="U134" s="15" t="str">
        <x:v>A_Core</x:v>
      </x:c>
      <x:c r="V134" s="15" t="str">
        <x:v>KEEP</x:v>
      </x:c>
      <x:c r="W134" s="15" t="str"/>
      <x:c r="X134" s="15" t="str"/>
      <x:c r="Y134" s="15" t="str">
        <x:v>https://www.goodshort.com/resources/review/best-top-mini-dramas-list</x:v>
      </x:c>
      <x:c r="Z134" s="15" t="str"/>
    </x:row>
    <x:row r="135">
      <x:c r="A135" s="15" t="str">
        <x:v>L0134</x:v>
      </x:c>
      <x:c r="B135" s="15" t="str">
        <x:v>2025-06</x:v>
      </x:c>
      <x:c r="C135" s="15" t="str">
        <x:v>GoodShort</x:v>
      </x:c>
      <x:c r="D135" s="15" t="str">
        <x:v>Base_XLSX</x:v>
      </x:c>
      <x:c r="E135" s="15" t="n">
        <x:v>2</x:v>
      </x:c>
      <x:c r="F135" s="15" t="str">
        <x:v>Base only</x:v>
      </x:c>
      <x:c r="G135" s="15" t="str">
        <x:v>Love by Contract</x:v>
      </x:c>
      <x:c r="H135" s="15" t="str">
        <x:v>Love by Contract</x:v>
      </x:c>
      <x:c r="I135" s="15" t="str">
        <x:v>Live-action/dubbed; AIGC not flagged</x:v>
      </x:c>
      <x:c r="J135" s="15" t="str">
        <x:v>Not flagged</x:v>
      </x:c>
      <x:c r="K135" s="15" t="str">
        <x:v>Female / Romance</x:v>
      </x:c>
      <x:c r="L135" s="15" t="str">
        <x:v>Contract Love / Romance</x:v>
      </x:c>
      <x:c r="M135" s="15" t="str">
        <x:v>Core melodrama hook</x:v>
      </x:c>
      <x:c r="N135" s="15" t="str">
        <x:v>무료부에서는 결핍과 예고, 유료부에서는 보상/진실/역전</x:v>
      </x:c>
      <x:c r="O135" s="15" t="str">
        <x:v>Medium: 광고 컷·후킹 이미지 보강용</x:v>
      </x:c>
      <x:c r="P135" s="15" t="str">
        <x:v>계약 관계가 사랑으로 변하는 GoodShort 핵심 로맨스.</x:v>
      </x:c>
      <x:c r="Q135" s="15" t="str">
        <x:v>GoodShort Top 10 list에서 463.6K views, 76K followers, 8.4K likes로 언급.</x:v>
      </x:c>
      <x:c r="R135" s="15" t="str">
        <x:v>Legacy top performance signal.</x:v>
      </x:c>
      <x:c r="S135" s="15" t="str">
        <x:v>A / Strong verified</x:v>
      </x:c>
      <x:c r="T135" s="18" t="n">
        <x:v>96</x:v>
      </x:c>
      <x:c r="U135" s="15" t="str">
        <x:v>A_Core</x:v>
      </x:c>
      <x:c r="V135" s="15" t="str">
        <x:v>KEEP</x:v>
      </x:c>
      <x:c r="W135" s="15" t="str"/>
      <x:c r="X135" s="15" t="str"/>
      <x:c r="Y135" s="15" t="str">
        <x:v>https://www.goodshort.com/resources/review/best-top-mini-dramas-list</x:v>
      </x:c>
      <x:c r="Z135" s="15" t="str"/>
    </x:row>
    <x:row r="136">
      <x:c r="A136" s="15" t="str">
        <x:v>L0135</x:v>
      </x:c>
      <x:c r="B136" s="15" t="str">
        <x:v>2025-06</x:v>
      </x:c>
      <x:c r="C136" s="15" t="str">
        <x:v>GoodShort</x:v>
      </x:c>
      <x:c r="D136" s="15" t="str">
        <x:v>Base_XLSX</x:v>
      </x:c>
      <x:c r="E136" s="15" t="n">
        <x:v>3</x:v>
      </x:c>
      <x:c r="F136" s="15" t="str">
        <x:v>Base only</x:v>
      </x:c>
      <x:c r="G136" s="15" t="str">
        <x:v>Sleeping Handsome</x:v>
      </x:c>
      <x:c r="H136" s="15" t="str">
        <x:v>Sleeping Handsome</x:v>
      </x:c>
      <x:c r="I136" s="15" t="str">
        <x:v>Live-action/dubbed; AIGC not flagged</x:v>
      </x:c>
      <x:c r="J136" s="15" t="str">
        <x:v>Not flagged</x:v>
      </x:c>
      <x:c r="K136" s="15" t="str">
        <x:v>Female / Romance</x:v>
      </x:c>
      <x:c r="L136" s="15" t="str">
        <x:v>Romance / Sleeping Beauty Inversion</x:v>
      </x:c>
      <x:c r="M136" s="15" t="str">
        <x:v>Core melodrama hook</x:v>
      </x:c>
      <x:c r="N136" s="15" t="str">
        <x:v>무료부에서는 결핍과 예고, 유료부에서는 보상/진실/역전</x:v>
      </x:c>
      <x:c r="O136" s="15" t="str">
        <x:v>Medium: 광고 컷·후킹 이미지 보강용</x:v>
      </x:c>
      <x:c r="P136" s="15" t="str">
        <x:v>잠든/수동적 남주와 로맨스 반전을 결합한 mini drama.</x:v>
      </x:c>
      <x:c r="Q136" s="15" t="str">
        <x:v>GoodShort Top 10 list에서 253.6K views, 90.4K followers, 4.8K likes.</x:v>
      </x:c>
      <x:c r="R136" s="15" t="str">
        <x:v>Legacy top performance signal.</x:v>
      </x:c>
      <x:c r="S136" s="15" t="str">
        <x:v>A / Strong verified</x:v>
      </x:c>
      <x:c r="T136" s="18" t="n">
        <x:v>96</x:v>
      </x:c>
      <x:c r="U136" s="15" t="str">
        <x:v>A_Core</x:v>
      </x:c>
      <x:c r="V136" s="15" t="str">
        <x:v>KEEP</x:v>
      </x:c>
      <x:c r="W136" s="15" t="str"/>
      <x:c r="X136" s="15" t="str"/>
      <x:c r="Y136" s="15" t="str">
        <x:v>https://www.goodshort.com/resources/review/best-top-mini-dramas-list</x:v>
      </x:c>
      <x:c r="Z136" s="15" t="str"/>
    </x:row>
    <x:row r="137">
      <x:c r="A137" s="15" t="str">
        <x:v>L0136</x:v>
      </x:c>
      <x:c r="B137" s="15" t="str">
        <x:v>2025-07</x:v>
      </x:c>
      <x:c r="C137" s="15" t="str">
        <x:v>GoodShort</x:v>
      </x:c>
      <x:c r="D137" s="15" t="str">
        <x:v>Base_XLSX</x:v>
      </x:c>
      <x:c r="E137" s="15" t="n">
        <x:v>1</x:v>
      </x:c>
      <x:c r="F137" s="15" t="str">
        <x:v>Base only</x:v>
      </x:c>
      <x:c r="G137" s="15" t="str">
        <x:v>Married for Greencard, Stayed for Love</x:v>
      </x:c>
      <x:c r="H137" s="15" t="str">
        <x:v>Married for Greencard, Stayed for Love</x:v>
      </x:c>
      <x:c r="I137" s="15" t="str">
        <x:v>Live-action/dubbed; AIGC not flagged</x:v>
      </x:c>
      <x:c r="J137" s="15" t="str">
        <x:v>Not flagged</x:v>
      </x:c>
      <x:c r="K137" s="15" t="str">
        <x:v>Female / Romance</x:v>
      </x:c>
      <x:c r="L137" s="15" t="str">
        <x:v>Immigration / Contract Marriage / Feel-Good</x:v>
      </x:c>
      <x:c r="M137" s="15" t="str">
        <x:v>Core melodrama hook</x:v>
      </x:c>
      <x:c r="N137" s="15" t="str">
        <x:v>무료부에서는 결핍과 예고, 유료부에서는 보상/진실/역전</x:v>
      </x:c>
      <x:c r="O137" s="15" t="str">
        <x:v>Medium: 광고 컷·후킹 이미지 보강용</x:v>
      </x:c>
      <x:c r="P137" s="15" t="str">
        <x:v>그린카드/골수 기증 계약 결혼이 실제 사랑으로 변함.</x:v>
      </x:c>
      <x:c r="Q137" s="15" t="str">
        <x:v>GoodShort resource에서 58 eps, 322.6K stars, 13.3K hearts 언급.</x:v>
      </x:c>
      <x:c r="R137" s="15" t="str">
        <x:v>Strong official metrics.</x:v>
      </x:c>
      <x:c r="S137" s="15" t="str">
        <x:v>A / Strong verified</x:v>
      </x:c>
      <x:c r="T137" s="18" t="n">
        <x:v>96</x:v>
      </x:c>
      <x:c r="U137" s="15" t="str">
        <x:v>A_Core</x:v>
      </x:c>
      <x:c r="V137" s="15" t="str">
        <x:v>KEEP</x:v>
      </x:c>
      <x:c r="W137" s="15" t="str"/>
      <x:c r="X137" s="15" t="str"/>
      <x:c r="Y137" s="15" t="str">
        <x:v>https://www.goodshort.com/resources/review/married-for-greencard-stayed-for-love-drama</x:v>
      </x:c>
      <x:c r="Z137" s="15" t="str"/>
    </x:row>
    <x:row r="138">
      <x:c r="A138" s="15" t="str">
        <x:v>L0137</x:v>
      </x:c>
      <x:c r="B138" s="15" t="str">
        <x:v>2025-07</x:v>
      </x:c>
      <x:c r="C138" s="15" t="str">
        <x:v>GoodShort</x:v>
      </x:c>
      <x:c r="D138" s="15" t="str">
        <x:v>Base_XLSX</x:v>
      </x:c>
      <x:c r="E138" s="15" t="n">
        <x:v>2</x:v>
      </x:c>
      <x:c r="F138" s="15" t="str">
        <x:v>Base only</x:v>
      </x:c>
      <x:c r="G138" s="15" t="str">
        <x:v>The Queen's Triumph</x:v>
      </x:c>
      <x:c r="H138" s="15" t="str">
        <x:v>The Queen's Triumph</x:v>
      </x:c>
      <x:c r="I138" s="15" t="str">
        <x:v>Live-action/dubbed; AIGC not flagged</x:v>
      </x:c>
      <x:c r="J138" s="15" t="str">
        <x:v>Not flagged</x:v>
      </x:c>
      <x:c r="K138" s="15" t="str">
        <x:v>Female / Revenge-SFL</x:v>
      </x:c>
      <x:c r="L138" s="15" t="str">
        <x:v>Urban / Female Return / Business Revenge</x:v>
      </x:c>
      <x:c r="M138" s="15" t="str">
        <x:v>Revenge/regret payoff</x:v>
      </x:c>
      <x:c r="N138" s="15" t="str">
        <x:v>굴욕/배신 후 첫 반격을 예고하고 본격 응징은 지연</x:v>
      </x:c>
      <x:c r="O138" s="15" t="str">
        <x:v>Medium: 광고 컷·후킹 이미지 보강용</x:v>
      </x:c>
      <x:c r="P138" s="15" t="str">
        <x:v>버림받은 여성이 도시로 돌아와 회사/가문 권력을 회수.</x:v>
      </x:c>
      <x:c r="Q138" s="15" t="str">
        <x:v>GoodShort resource에서 79 eps, 14.5K views.</x:v>
      </x:c>
      <x:c r="R138" s="15" t="str">
        <x:v>Official resource metric.</x:v>
      </x:c>
      <x:c r="S138" s="15" t="str">
        <x:v>B / Useful verified</x:v>
      </x:c>
      <x:c r="T138" s="18" t="n">
        <x:v>81</x:v>
      </x:c>
      <x:c r="U138" s="15" t="str">
        <x:v>B_Strong</x:v>
      </x:c>
      <x:c r="V138" s="15" t="str">
        <x:v>KEEP</x:v>
      </x:c>
      <x:c r="W138" s="15" t="str"/>
      <x:c r="X138" s="15" t="str"/>
      <x:c r="Y138" s="15" t="str">
        <x:v>https://www.goodshort.com/resources/review/the-queen-s-triumph-drama</x:v>
      </x:c>
      <x:c r="Z138" s="15" t="str"/>
    </x:row>
    <x:row r="139">
      <x:c r="A139" s="15" t="str">
        <x:v>L0138</x:v>
      </x:c>
      <x:c r="B139" s="15" t="str">
        <x:v>2025-07</x:v>
      </x:c>
      <x:c r="C139" s="15" t="str">
        <x:v>GoodShort</x:v>
      </x:c>
      <x:c r="D139" s="15" t="str">
        <x:v>Base_XLSX</x:v>
      </x:c>
      <x:c r="E139" s="15" t="n">
        <x:v>3</x:v>
      </x:c>
      <x:c r="F139" s="15" t="str">
        <x:v>Base only</x:v>
      </x:c>
      <x:c r="G139" s="15" t="str">
        <x:v>My Exclusive Wish Granter</x:v>
      </x:c>
      <x:c r="H139" s="15" t="str">
        <x:v>My Exclusive Wish Granter</x:v>
      </x:c>
      <x:c r="I139" s="15" t="str">
        <x:v>Live-action/dubbed; AIGC not flagged</x:v>
      </x:c>
      <x:c r="J139" s="15" t="str">
        <x:v>AIGC-friendly genre</x:v>
      </x:c>
      <x:c r="K139" s="15" t="str">
        <x:v>Male / Power fantasy</x:v>
      </x:c>
      <x:c r="L139" s="15" t="str">
        <x:v>Fantasy-Male / Wish System / Superpower</x:v>
      </x:c>
      <x:c r="M139" s="15" t="str">
        <x:v>Revenge/regret payoff + Progression/spectacle</x:v>
      </x:c>
      <x:c r="N139" s="15" t="str">
        <x:v>첫 각성·첫 스킬만 보여주고 상위 보스/진짜 권위는 유료부로 이월</x:v>
      </x:c>
      <x:c r="O139" s="15" t="str">
        <x:v>High: VFX·세계관·시스템 UI·비현실 스케일을 직접 보상화</x:v>
      </x:c>
      <x:c r="P139" s="15" t="str">
        <x:v>소원을 들어주는 전용 wish granter/초월자 시스템 판타지.</x:v>
      </x:c>
      <x:c r="Q139" s="15" t="str">
        <x:v>GoodShort fantasy-male resource page 존재.</x:v>
      </x:c>
      <x:c r="R139" s="15" t="str">
        <x:v>Resource view count 1.8K.</x:v>
      </x:c>
      <x:c r="S139" s="15" t="str">
        <x:v>A / Strong verified</x:v>
      </x:c>
      <x:c r="T139" s="18" t="n">
        <x:v>85</x:v>
      </x:c>
      <x:c r="U139" s="15" t="str">
        <x:v>A_Core</x:v>
      </x:c>
      <x:c r="V139" s="15" t="str">
        <x:v>KEEP</x:v>
      </x:c>
      <x:c r="W139" s="15" t="str"/>
      <x:c r="X139" s="15" t="str"/>
      <x:c r="Y139" s="15" t="str">
        <x:v>https://www.goodshort.com/resources/review/my-exclusive-wish-granter-drama</x:v>
      </x:c>
      <x:c r="Z139" s="15" t="str">
        <x:v>제작 AIGC 직접 표기 확인 필요.</x:v>
      </x:c>
    </x:row>
    <x:row r="140">
      <x:c r="A140" s="15" t="str">
        <x:v>L0139</x:v>
      </x:c>
      <x:c r="B140" s="15" t="str">
        <x:v>2025-08</x:v>
      </x:c>
      <x:c r="C140" s="15" t="str">
        <x:v>GoodShort</x:v>
      </x:c>
      <x:c r="D140" s="15" t="str">
        <x:v>Base_XLSX</x:v>
      </x:c>
      <x:c r="E140" s="15" t="n">
        <x:v>1</x:v>
      </x:c>
      <x:c r="F140" s="15" t="str">
        <x:v>Base only</x:v>
      </x:c>
      <x:c r="G140" s="15" t="str">
        <x:v>Pengantin CEO Yang Bisu / Mute CEO Bride</x:v>
      </x:c>
      <x:c r="H140" s="15" t="str">
        <x:v>Pengantin CEO Yang Bisu / Mute CEO Bride</x:v>
      </x:c>
      <x:c r="I140" s="15" t="str">
        <x:v>Live-action/dubbed; AIGC not flagged</x:v>
      </x:c>
      <x:c r="J140" s="15" t="str">
        <x:v>Not flagged</x:v>
      </x:c>
      <x:c r="K140" s="15" t="str">
        <x:v>Female / Family-romance</x:v>
      </x:c>
      <x:c r="L140" s="15" t="str">
        <x:v>Mute Wife / CEO / Pregnancy / Bitter Love</x:v>
      </x:c>
      <x:c r="M140" s="15" t="str">
        <x:v>High-status partner/authority + Child/family reunion</x:v>
      </x:c>
      <x:c r="N140" s="15" t="str">
        <x:v>혈연/아이 진실을 반쯤 드러내고 대면·인정은 지연</x:v>
      </x:c>
      <x:c r="O140" s="15" t="str">
        <x:v>Medium-High: 압도적 외모·의상·공간 미감으로 실사형 보상 강화</x:v>
      </x:c>
      <x:c r="P140" s="15" t="str">
        <x:v>말 못하는 아내 Ella가 CEO 남편의 냉대와 임신·사고를 견디는 멜로.</x:v>
      </x:c>
      <x:c r="Q140" s="15" t="str">
        <x:v>GoodShort resource에서 170K interest, nearly 3M likes, 100 eps 언급.</x:v>
      </x:c>
      <x:c r="R140" s="15" t="str">
        <x:v>Strong localized metrics.</x:v>
      </x:c>
      <x:c r="S140" s="15" t="str">
        <x:v>A / Strong verified</x:v>
      </x:c>
      <x:c r="T140" s="18" t="n">
        <x:v>88</x:v>
      </x:c>
      <x:c r="U140" s="15" t="str">
        <x:v>A_Core</x:v>
      </x:c>
      <x:c r="V140" s="15" t="str">
        <x:v>KEEP</x:v>
      </x:c>
      <x:c r="W140" s="15" t="str"/>
      <x:c r="X140" s="15" t="str"/>
      <x:c r="Y140" s="15" t="str">
        <x:v>https://www.goodshort.com/resources/review/pengantin-ceo-yang-bisu-drama</x:v>
      </x:c>
      <x:c r="Z140" s="15" t="str"/>
    </x:row>
    <x:row r="141">
      <x:c r="A141" s="15" t="str">
        <x:v>L0140</x:v>
      </x:c>
      <x:c r="B141" s="15" t="str">
        <x:v>2025-08</x:v>
      </x:c>
      <x:c r="C141" s="15" t="str">
        <x:v>GoodShort</x:v>
      </x:c>
      <x:c r="D141" s="15" t="str">
        <x:v>Base_XLSX</x:v>
      </x:c>
      <x:c r="E141" s="15" t="n">
        <x:v>2</x:v>
      </x:c>
      <x:c r="F141" s="15" t="str">
        <x:v>Base only</x:v>
      </x:c>
      <x:c r="G141" s="15" t="str">
        <x:v>Destined to Love</x:v>
      </x:c>
      <x:c r="H141" s="15" t="str">
        <x:v>Destined to Love</x:v>
      </x:c>
      <x:c r="I141" s="15" t="str">
        <x:v>Live-action/dubbed; AIGC not flagged</x:v>
      </x:c>
      <x:c r="J141" s="15" t="str">
        <x:v>Not flagged</x:v>
      </x:c>
      <x:c r="K141" s="15" t="str">
        <x:v>Female / Family-romance</x:v>
      </x:c>
      <x:c r="L141" s="15" t="str">
        <x:v>Single Mom / Contract Girlfriend / Destiny</x:v>
      </x:c>
      <x:c r="M141" s="15" t="str">
        <x:v>Child/family reunion</x:v>
      </x:c>
      <x:c r="N141" s="15" t="str">
        <x:v>무료부에서는 결핍과 예고, 유료부에서는 보상/진실/역전</x:v>
      </x:c>
      <x:c r="O141" s="15" t="str">
        <x:v>Medium: 아이/가족 감정은 직관화하되 섬세한 연기는 과신 금지</x:v>
      </x:c>
      <x:c r="P141" s="15" t="str">
        <x:v>임신·가족 추방 후 7년 뒤 contract girlfriend 관계로 재회.</x:v>
      </x:c>
      <x:c r="Q141" s="15" t="str">
        <x:v>GoodShort resource page 존재.</x:v>
      </x:c>
      <x:c r="R141" s="15" t="str">
        <x:v>Resource view count 1.8K.</x:v>
      </x:c>
      <x:c r="S141" s="15" t="str">
        <x:v>A / Strong verified</x:v>
      </x:c>
      <x:c r="T141" s="18" t="n">
        <x:v>85</x:v>
      </x:c>
      <x:c r="U141" s="15" t="str">
        <x:v>A_Core</x:v>
      </x:c>
      <x:c r="V141" s="15" t="str">
        <x:v>KEEP</x:v>
      </x:c>
      <x:c r="W141" s="15" t="str"/>
      <x:c r="X141" s="15" t="str"/>
      <x:c r="Y141" s="15" t="str">
        <x:v>https://www.goodshort.com/resources/review/best-top-chinese-mini-dramas-list</x:v>
      </x:c>
      <x:c r="Z141" s="15" t="str"/>
    </x:row>
    <x:row r="142">
      <x:c r="A142" s="15" t="str">
        <x:v>L0141</x:v>
      </x:c>
      <x:c r="B142" s="15" t="str">
        <x:v>2025-08</x:v>
      </x:c>
      <x:c r="C142" s="15" t="str">
        <x:v>GoodShort</x:v>
      </x:c>
      <x:c r="D142" s="15" t="str">
        <x:v>Base_XLSX</x:v>
      </x:c>
      <x:c r="E142" s="15" t="n">
        <x:v>3</x:v>
      </x:c>
      <x:c r="F142" s="15" t="str">
        <x:v>Base only</x:v>
      </x:c>
      <x:c r="G142" s="15" t="str">
        <x:v>Transcendence</x:v>
      </x:c>
      <x:c r="H142" s="15" t="str">
        <x:v>Transcendence</x:v>
      </x:c>
      <x:c r="I142" s="15" t="str">
        <x:v>Live-action/dubbed; AIGC not flagged</x:v>
      </x:c>
      <x:c r="J142" s="15" t="str">
        <x:v>Not flagged</x:v>
      </x:c>
      <x:c r="K142" s="15" t="str">
        <x:v>Mixed / General</x:v>
      </x:c>
      <x:c r="L142" s="15" t="str">
        <x:v>Fantasy-Male / Daydream / Power Awakening</x:v>
      </x:c>
      <x:c r="M142" s="15" t="str">
        <x:v>Core melodrama hook</x:v>
      </x:c>
      <x:c r="N142" s="15" t="str">
        <x:v>무료부에서는 결핍과 예고, 유료부에서는 보상/진실/역전</x:v>
      </x:c>
      <x:c r="O142" s="15" t="str">
        <x:v>Medium: 광고 컷·후킹 이미지 보강용</x:v>
      </x:c>
      <x:c r="P142" s="15" t="str">
        <x:v>망상처럼 보이던 능력이 현실화되며 남성향 판타지 보상이 시작.</x:v>
      </x:c>
      <x:c r="Q142" s="15" t="str">
        <x:v>GoodShort fantasy-male resource page 존재.</x:v>
      </x:c>
      <x:c r="R142" s="15" t="str">
        <x:v>Resource view count 1.3K.</x:v>
      </x:c>
      <x:c r="S142" s="15" t="str">
        <x:v>C / Watch</x:v>
      </x:c>
      <x:c r="T142" s="18" t="n">
        <x:v>68</x:v>
      </x:c>
      <x:c r="U142" s="15" t="str">
        <x:v>C_Watch</x:v>
      </x:c>
      <x:c r="V142" s="15" t="str">
        <x:v>POSSIBLE_REPLACE_BY_SUPPLEMENT</x:v>
      </x:c>
      <x:c r="W142" s="15" t="str">
        <x:v>A Blind Date with my Mr. Meant-to-Be</x:v>
      </x:c>
      <x:c r="X142" s="15" t="str">
        <x:v>동월·동플랫폼 보강자료 후보가 있고, 현행 행의 confidence가 Low라 교체 후보.</x:v>
      </x:c>
      <x:c r="Y142" s="15" t="str">
        <x:v>https://www.goodshort.com/resources/review/my-exclusive-wish-granter-drama</x:v>
      </x:c>
      <x:c r="Z142" s="15" t="str">
        <x:v>공식 성과/광고 집행량 재확인.</x:v>
      </x:c>
    </x:row>
    <x:row r="143">
      <x:c r="A143" s="15" t="str">
        <x:v>L0142</x:v>
      </x:c>
      <x:c r="B143" s="15" t="str">
        <x:v>2025-09</x:v>
      </x:c>
      <x:c r="C143" s="15" t="str">
        <x:v>GoodShort</x:v>
      </x:c>
      <x:c r="D143" s="15" t="str">
        <x:v>Base+Supplement_DOCX</x:v>
      </x:c>
      <x:c r="E143" s="15" t="n">
        <x:v>1</x:v>
      </x:c>
      <x:c r="F143" s="15" t="str">
        <x:v>Merged / reinforced</x:v>
      </x:c>
      <x:c r="G143" s="15" t="str">
        <x:v>Blood and Bones of the Disowned Daughter</x:v>
      </x:c>
      <x:c r="H143" s="15" t="str">
        <x:v>Blood and Bones of the Disowned Daughter</x:v>
      </x:c>
      <x:c r="I143" s="15" t="str">
        <x:v>Live-action; AIGC not flagged</x:v>
      </x:c>
      <x:c r="J143" s="15" t="str">
        <x:v>Not flagged</x:v>
      </x:c>
      <x:c r="K143" s="15" t="str">
        <x:v>Female / Family-romance</x:v>
      </x:c>
      <x:c r="L143" s="15" t="str">
        <x:v>Disowned Daughter / Fake Heiress / Revenge / Forced Marriage</x:v>
      </x:c>
      <x:c r="M143" s="15" t="str">
        <x:v>Hidden-identity reveal + Revenge/regret payoff + Child/family reunion</x:v>
      </x:c>
      <x:c r="N143" s="15" t="str">
        <x:v>정체/권력 공개 직전까지 결핍·오해를 누적</x:v>
      </x:c>
      <x:c r="O143" s="15" t="str">
        <x:v>Medium: 아이/가족 감정은 직관화하되 섬세한 연기는 과신 금지</x:v>
      </x:c>
      <x:c r="P143" s="15" t="str">
        <x:v>Natalie가 살인 누명을 쓰고 버려진 뒤 개혁학교를 거쳐 돌아와 가족과 가짜 상속녀에게 복수.</x:v>
      </x:c>
      <x:c r="Q143" s="15" t="str">
        <x:v>YouTube GoodShort Moments 영상 5.3M views; Instagram/Facebook clips도 확인.</x:v>
      </x:c>
      <x:c r="R143" s="15" t="str">
        <x:v>Creation 2025-11-20 but heavy social signal in late 2025; YouTube 5.3M.</x:v>
      </x:c>
      <x:c r="S143" s="15" t="str">
        <x:v>A / Strong verified</x:v>
      </x:c>
      <x:c r="T143" s="18" t="n">
        <x:v>100</x:v>
      </x:c>
      <x:c r="U143" s="15" t="str">
        <x:v>A_Core</x:v>
      </x:c>
      <x:c r="V143" s="15" t="str">
        <x:v>MERGE_REINFORCE</x:v>
      </x:c>
      <x:c r="W143" s="15" t="str"/>
      <x:c r="X143" s="15" t="str">
        <x:v>보강자료 일치: 공식 수치는 32.5M views / 4.9M followers. Reddit에선 “I liked the ending” 반응이 확인됐다.</x:v>
      </x:c>
      <x:c r="Y143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3" s="15" t="str"/>
    </x:row>
    <x:row r="144">
      <x:c r="A144" s="15" t="str">
        <x:v>L0143</x:v>
      </x:c>
      <x:c r="B144" s="15" t="str">
        <x:v>2025-09</x:v>
      </x:c>
      <x:c r="C144" s="15" t="str">
        <x:v>GoodShort</x:v>
      </x:c>
      <x:c r="D144" s="15" t="str">
        <x:v>Base_XLSX</x:v>
      </x:c>
      <x:c r="E144" s="15" t="n">
        <x:v>2</x:v>
      </x:c>
      <x:c r="F144" s="15" t="str">
        <x:v>Base only</x:v>
      </x:c>
      <x:c r="G144" s="15" t="str">
        <x:v>Sneak Me in Your Closet, My Prince</x:v>
      </x:c>
      <x:c r="H144" s="15" t="str">
        <x:v>Sneak Me in Your Closet, My Prince</x:v>
      </x:c>
      <x:c r="I144" s="15" t="str">
        <x:v>Live-action; AIGC not flagged</x:v>
      </x:c>
      <x:c r="J144" s="15" t="str">
        <x:v>Not flagged</x:v>
      </x:c>
      <x:c r="K144" s="15" t="str">
        <x:v>Female / Romance</x:v>
      </x:c>
      <x:c r="L144" s="15" t="str">
        <x:v>BL / Mafia / Closet Encounter / Forbidden Romance</x:v>
      </x:c>
      <x:c r="M144" s="15" t="str">
        <x:v>High-status partner/authority</x:v>
      </x:c>
      <x:c r="N144" s="15" t="str">
        <x:v>강한 케미·보호/소유 신호를 주되 감정 확정은 지연</x:v>
      </x:c>
      <x:c r="O144" s="15" t="str">
        <x:v>Medium-High: 압도적 외모·의상·공간 미감으로 실사형 보상 강화</x:v>
      </x:c>
      <x:c r="P144" s="15" t="str">
        <x:v>결혼식 날 도망친 마피아 후계자가 신랑의 옷장에 숨으며 BL/마피아 로맨스가 시작.</x:v>
      </x:c>
      <x:c r="Q144" s="15" t="str">
        <x:v>GoodShort resource에서 12.7K+ views, 추천작 다수.</x:v>
      </x:c>
      <x:c r="R144" s="15" t="str">
        <x:v>Updated Jan 2026; sustained BL signal.</x:v>
      </x:c>
      <x:c r="S144" s="15" t="str">
        <x:v>A / Strong verified</x:v>
      </x:c>
      <x:c r="T144" s="18" t="n">
        <x:v>88</x:v>
      </x:c>
      <x:c r="U144" s="15" t="str">
        <x:v>A_Core</x:v>
      </x:c>
      <x:c r="V144" s="15" t="str">
        <x:v>KEEP</x:v>
      </x:c>
      <x:c r="W144" s="15" t="str"/>
      <x:c r="X144" s="15" t="str"/>
      <x:c r="Y144" s="15" t="str">
        <x:v>https://www.goodshort.com/resources/review/sneak-me-in-your-closet-my-prince</x:v>
      </x:c>
      <x:c r="Z144" s="15" t="str"/>
    </x:row>
    <x:row r="145">
      <x:c r="A145" s="15" t="str">
        <x:v>L0144</x:v>
      </x:c>
      <x:c r="B145" s="15" t="str">
        <x:v>2025-09</x:v>
      </x:c>
      <x:c r="C145" s="15" t="str">
        <x:v>GoodShort</x:v>
      </x:c>
      <x:c r="D145" s="15" t="str">
        <x:v>Base_XLSX</x:v>
      </x:c>
      <x:c r="E145" s="15" t="n">
        <x:v>3</x:v>
      </x:c>
      <x:c r="F145" s="15" t="str">
        <x:v>Base only</x:v>
      </x:c>
      <x:c r="G145" s="15" t="str">
        <x:v>The Unwanted Mate</x:v>
      </x:c>
      <x:c r="H145" s="15" t="str">
        <x:v>The Unwanted Mate</x:v>
      </x:c>
      <x:c r="I145" s="15" t="str">
        <x:v>Live-action; AIGC not flagged</x:v>
      </x:c>
      <x:c r="J145" s="15" t="str">
        <x:v>Not flagged</x:v>
      </x:c>
      <x:c r="K145" s="15" t="str">
        <x:v>Female / Romance</x:v>
      </x:c>
      <x:c r="L145" s="15" t="str">
        <x:v>Werewolf / Rejected Mate / Mate Bond</x:v>
      </x:c>
      <x:c r="M145" s="15" t="str">
        <x:v>Core melodrama hook</x:v>
      </x:c>
      <x:c r="N145" s="15" t="str">
        <x:v>무료부에서는 결핍과 예고, 유료부에서는 보상/진실/역전</x:v>
      </x:c>
      <x:c r="O145" s="15" t="str">
        <x:v>Medium: 광고 컷·후킹 이미지 보강용</x:v>
      </x:c>
      <x:c r="P145" s="15" t="str">
        <x:v>버림받은 mate가 진짜 가치/운명을 되찾는 werewolf romance.</x:v>
      </x:c>
      <x:c r="Q145" s="15" t="str">
        <x:v>GoodShort resource/search signal.</x:v>
      </x:c>
      <x:c r="R145" s="15" t="str">
        <x:v>Resource view count 5K+ in earlier source.</x:v>
      </x:c>
      <x:c r="S145" s="15" t="str">
        <x:v>C / Watch</x:v>
      </x:c>
      <x:c r="T145" s="18" t="n">
        <x:v>68</x:v>
      </x:c>
      <x:c r="U145" s="15" t="str">
        <x:v>C_Watch</x:v>
      </x:c>
      <x:c r="V145" s="15" t="str">
        <x:v>KEEP</x:v>
      </x:c>
      <x:c r="W145" s="15" t="str"/>
      <x:c r="X145" s="15" t="str"/>
      <x:c r="Y145" s="15" t="str">
        <x:v>https://www.goodshort.com/resources/review/best-top-chinese-mini-dramas-list</x:v>
      </x:c>
      <x:c r="Z145" s="15" t="str">
        <x:v>공식 성과/광고 집행량 재확인.</x:v>
      </x:c>
    </x:row>
    <x:row r="146">
      <x:c r="A146" s="15" t="str">
        <x:v>L0145</x:v>
      </x:c>
      <x:c r="B146" s="15" t="str">
        <x:v>2025-10</x:v>
      </x:c>
      <x:c r="C146" s="15" t="str">
        <x:v>GoodShort</x:v>
      </x:c>
      <x:c r="D146" s="15" t="str">
        <x:v>Base_XLSX</x:v>
      </x:c>
      <x:c r="E146" s="15" t="n">
        <x:v>1</x:v>
      </x:c>
      <x:c r="F146" s="15" t="str">
        <x:v>Base only</x:v>
      </x:c>
      <x:c r="G146" s="15" t="str">
        <x:v>Blood and Bones of the Disowned Daughter</x:v>
      </x:c>
      <x:c r="H146" s="15" t="str">
        <x:v>Blood and Bones of the Disowned Daughter</x:v>
      </x:c>
      <x:c r="I146" s="15" t="str">
        <x:v>Live-action; AIGC not flagged</x:v>
      </x:c>
      <x:c r="J146" s="15" t="str">
        <x:v>Not flagged</x:v>
      </x:c>
      <x:c r="K146" s="15" t="str">
        <x:v>Female / Family-romance</x:v>
      </x:c>
      <x:c r="L146" s="15" t="str">
        <x:v>Fake Heiress / Revenge / Disowned Daughter</x:v>
      </x:c>
      <x:c r="M146" s="15" t="str">
        <x:v>Hidden-identity reveal + Revenge/regret payoff + Child/family reunion</x:v>
      </x:c>
      <x:c r="N146" s="15" t="str">
        <x:v>정체/권력 공개 직전까지 결핍·오해를 누적</x:v>
      </x:c>
      <x:c r="O146" s="15" t="str">
        <x:v>Medium: 아이/가족 감정은 직관화하되 섬세한 연기는 과신 금지</x:v>
      </x:c>
      <x:c r="P146" s="15" t="str">
        <x:v>가짜 상속녀·가족 배신·forced marriage revenge가 결합된 GoodShort late-2025 핵심작.</x:v>
      </x:c>
      <x:c r="Q146" s="15" t="str">
        <x:v>YouTube 5.3M views and multiple social clips.</x:v>
      </x:c>
      <x:c r="R146" s="15" t="str">
        <x:v>Strong hit proxy.</x:v>
      </x:c>
      <x:c r="S146" s="15" t="str">
        <x:v>A / Strong verified</x:v>
      </x:c>
      <x:c r="T146" s="18" t="n">
        <x:v>88</x:v>
      </x:c>
      <x:c r="U146" s="15" t="str">
        <x:v>A_Core</x:v>
      </x:c>
      <x:c r="V146" s="15" t="str">
        <x:v>KEEP</x:v>
      </x:c>
      <x:c r="W146" s="15" t="str"/>
      <x:c r="X146" s="15" t="str"/>
      <x:c r="Y146" s="15" t="str">
        <x:v>https://www.goodshort.com/resources/review/blood-and-bones-of-the-disowned-daughter-sweet-ruthless-fate-waits-natalie | https://www.youtube.com/watch?v=mUytOkm7drA</x:v>
      </x:c>
      <x:c r="Z146" s="15" t="str"/>
    </x:row>
    <x:row r="147">
      <x:c r="A147" s="15" t="str">
        <x:v>L0146</x:v>
      </x:c>
      <x:c r="B147" s="15" t="str">
        <x:v>2025-10</x:v>
      </x:c>
      <x:c r="C147" s="15" t="str">
        <x:v>GoodShort</x:v>
      </x:c>
      <x:c r="D147" s="15" t="str">
        <x:v>Base_XLSX</x:v>
      </x:c>
      <x:c r="E147" s="15" t="n">
        <x:v>2</x:v>
      </x:c>
      <x:c r="F147" s="15" t="str">
        <x:v>Base only</x:v>
      </x:c>
      <x:c r="G147" s="15" t="str">
        <x:v>Do Not Disturb: Lady Boss in Disguise!</x:v>
      </x:c>
      <x:c r="H147" s="15" t="str">
        <x:v>Do Not Disturb: Lady Boss in Disguise!</x:v>
      </x:c>
      <x:c r="I147" s="15" t="str">
        <x:v>Live-action; AIGC not flagged</x:v>
      </x:c>
      <x:c r="J147" s="15" t="str">
        <x:v>Not flagged</x:v>
      </x:c>
      <x:c r="K147" s="15" t="str">
        <x:v>Female / Revenge-SFL</x:v>
      </x:c>
      <x:c r="L147" s="15" t="str">
        <x:v>Lady Boss / Undercover Maid / Heiress</x:v>
      </x:c>
      <x:c r="M147" s="15" t="str">
        <x:v>Hidden-identity reveal + Progression/spectacle</x:v>
      </x:c>
      <x:c r="N147" s="15" t="str">
        <x:v>정체/권력 공개 직전까지 결핍·오해를 누적</x:v>
      </x:c>
      <x:c r="O147" s="15" t="str">
        <x:v>High: VFX·세계관·시스템 UI·비현실 스케일을 직접 보상화</x:v>
      </x:c>
      <x:c r="P147" s="15" t="str">
        <x:v>호텔 체인 상속녀가 maid로 잠입해 정체를 숨기고 반격.</x:v>
      </x:c>
      <x:c r="Q147" s="15" t="str">
        <x:v>GoodShort resource related/recent article list에서 노출.</x:v>
      </x:c>
      <x:c r="R147" s="15" t="str">
        <x:v>Related/recent signal.</x:v>
      </x:c>
      <x:c r="S147" s="15" t="str">
        <x:v>C / Watch</x:v>
      </x:c>
      <x:c r="T147" s="18" t="n">
        <x:v>56</x:v>
      </x:c>
      <x:c r="U147" s="15" t="str">
        <x:v>C_Watch</x:v>
      </x:c>
      <x:c r="V147" s="15" t="str">
        <x:v>POSSIBLE_REPLACE_BY_SUPPLEMENT</x:v>
      </x:c>
      <x:c r="W147" s="15" t="str">
        <x:v>Straight Until He Kissed Me</x:v>
      </x:c>
      <x:c r="X147" s="15" t="str">
        <x:v>동월·동플랫폼 보강자료 후보가 있고, 현행 행의 confidence가 Low라 교체 후보.</x:v>
      </x:c>
      <x:c r="Y147" s="15" t="str">
        <x:v>https://www.goodshort.com/resources/review/pengantin-ceo-yang-bisu-drama</x:v>
      </x:c>
      <x:c r="Z147" s="15" t="str">
        <x:v>공식 성과/광고 집행량 재확인.</x:v>
      </x:c>
    </x:row>
    <x:row r="148">
      <x:c r="A148" s="15" t="str">
        <x:v>L0147</x:v>
      </x:c>
      <x:c r="B148" s="15" t="str">
        <x:v>2025-10</x:v>
      </x:c>
      <x:c r="C148" s="15" t="str">
        <x:v>GoodShort</x:v>
      </x:c>
      <x:c r="D148" s="15" t="str">
        <x:v>Base_XLSX</x:v>
      </x:c>
      <x:c r="E148" s="15" t="n">
        <x:v>3</x:v>
      </x:c>
      <x:c r="F148" s="15" t="str">
        <x:v>Base only</x:v>
      </x:c>
      <x:c r="G148" s="15" t="str">
        <x:v>I Accidentally Hired a Billionaire Husband</x:v>
      </x:c>
      <x:c r="H148" s="15" t="str">
        <x:v>I Accidentally Hired a Billionaire Husband</x:v>
      </x:c>
      <x:c r="I148" s="15" t="str">
        <x:v>Live-action; AIGC not flagged</x:v>
      </x:c>
      <x:c r="J148" s="15" t="str">
        <x:v>Not flagged</x:v>
      </x:c>
      <x:c r="K148" s="15" t="str">
        <x:v>Female / Romance</x:v>
      </x:c>
      <x:c r="L148" s="15" t="str">
        <x:v>Billionaire Husband / Accidental Marriage</x:v>
      </x:c>
      <x:c r="M148" s="15" t="str">
        <x:v>Hidden-identity reveal + High-status partner/authority</x:v>
      </x:c>
      <x:c r="N148" s="15" t="str">
        <x:v>정체/권력 공개 직전까지 결핍·오해를 누적</x:v>
      </x:c>
      <x:c r="O148" s="15" t="str">
        <x:v>Medium-High: 압도적 외모·의상·공간 미감으로 실사형 보상 강화</x:v>
      </x:c>
      <x:c r="P148" s="15" t="str">
        <x:v>뜻밖에 억만장자 남편을 고용하게 되는 hidden identity romance.</x:v>
      </x:c>
      <x:c r="Q148" s="15" t="str">
        <x:v>GoodShort related article list에서 노출.</x:v>
      </x:c>
      <x:c r="R148" s="15" t="str">
        <x:v>Related/recent signal.</x:v>
      </x:c>
      <x:c r="S148" s="15" t="str">
        <x:v>C / Watch</x:v>
      </x:c>
      <x:c r="T148" s="18" t="n">
        <x:v>56</x:v>
      </x:c>
      <x:c r="U148" s="15" t="str">
        <x:v>C_Watch</x:v>
      </x:c>
      <x:c r="V148" s="15" t="str">
        <x:v>POSSIBLE_REPLACE_BY_SUPPLEMENT</x:v>
      </x:c>
      <x:c r="W148" s="15" t="str">
        <x:v>Straight Until He Kissed Me</x:v>
      </x:c>
      <x:c r="X148" s="15" t="str">
        <x:v>동월·동플랫폼 보강자료 후보가 있고, 현행 행의 confidence가 Low라 교체 후보.</x:v>
      </x:c>
      <x:c r="Y148" s="15" t="str">
        <x:v>https://www.goodshort.com/resources/review/pengantin-ceo-yang-bisu-drama</x:v>
      </x:c>
      <x:c r="Z148" s="15" t="str">
        <x:v>공식 성과/광고 집행량 재확인.</x:v>
      </x:c>
    </x:row>
    <x:row r="149">
      <x:c r="A149" s="15" t="str">
        <x:v>L0148</x:v>
      </x:c>
      <x:c r="B149" s="15" t="str">
        <x:v>2025-11</x:v>
      </x:c>
      <x:c r="C149" s="15" t="str">
        <x:v>GoodShort</x:v>
      </x:c>
      <x:c r="D149" s="15" t="str">
        <x:v>Base+Supplement_DOCX</x:v>
      </x:c>
      <x:c r="E149" s="15" t="n">
        <x:v>1</x:v>
      </x:c>
      <x:c r="F149" s="15" t="str">
        <x:v>Merged / reinforced</x:v>
      </x:c>
      <x:c r="G149" s="15" t="str">
        <x:v>Blood and Bones of the Disowned Daughter</x:v>
      </x:c>
      <x:c r="H149" s="15" t="str">
        <x:v>Blood and Bones of the Disowned Daughter</x:v>
      </x:c>
      <x:c r="I149" s="15" t="str">
        <x:v>Live-action; AIGC not flagged</x:v>
      </x:c>
      <x:c r="J149" s="15" t="str">
        <x:v>Not flagged</x:v>
      </x:c>
      <x:c r="K149" s="15" t="str">
        <x:v>Family regret / mixed</x:v>
      </x:c>
      <x:c r="L149" s="15" t="str">
        <x:v>Disowned Daughter / Revenge / Fake Heiress</x:v>
      </x:c>
      <x:c r="M149" s="15" t="str">
        <x:v>Hidden-identity reveal + Revenge/regret payoff + Child/family reunion</x:v>
      </x:c>
      <x:c r="N149" s="15" t="str">
        <x:v>정체/권력 공개 직전까지 결핍·오해를 누적</x:v>
      </x:c>
      <x:c r="O149" s="15" t="str">
        <x:v>Medium: 아이/가족 감정은 직관화하되 섬세한 연기는 과신 금지</x:v>
      </x:c>
      <x:c r="P149" s="15" t="str">
        <x:v>Natalie가 가족에게 버림받고 돌아와 복수하는 GoodShort 2025 하반기 대표작.</x:v>
      </x:c>
      <x:c r="Q149" s="15" t="str">
        <x:v>Official resource creation 2025-11-20; YouTube 5.3M views.</x:v>
      </x:c>
      <x:c r="R149" s="15" t="str">
        <x:v>Strong confirmed hit proxy.</x:v>
      </x:c>
      <x:c r="S149" s="15" t="str">
        <x:v>A / Strong verified</x:v>
      </x:c>
      <x:c r="T149" s="18" t="n">
        <x:v>100</x:v>
      </x:c>
      <x:c r="U149" s="15" t="str">
        <x:v>A_Core</x:v>
      </x:c>
      <x:c r="V149" s="15" t="str">
        <x:v>MERGE_REINFORCE</x:v>
      </x:c>
      <x:c r="W149" s="15" t="str"/>
      <x:c r="X149" s="15" t="str">
        <x:v>보강자료 일치: 높은 공식 뷰·팔로워 덕분에 장기 체류 가정이 가장 합리적이다.</x:v>
      </x:c>
      <x:c r="Y149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9" s="15" t="str"/>
    </x:row>
    <x:row r="150">
      <x:c r="A150" s="15" t="str">
        <x:v>L0149</x:v>
      </x:c>
      <x:c r="B150" s="15" t="str">
        <x:v>2025-11</x:v>
      </x:c>
      <x:c r="C150" s="15" t="str">
        <x:v>GoodShort</x:v>
      </x:c>
      <x:c r="D150" s="15" t="str">
        <x:v>Base_XLSX</x:v>
      </x:c>
      <x:c r="E150" s="15" t="n">
        <x:v>2</x:v>
      </x:c>
      <x:c r="F150" s="15" t="str">
        <x:v>Base only</x:v>
      </x:c>
      <x:c r="G150" s="15" t="str">
        <x:v>We Are Never Ever Getting Back Together</x:v>
      </x:c>
      <x:c r="H150" s="15" t="str">
        <x:v>We Are Never Ever Getting Back Together</x:v>
      </x:c>
      <x:c r="I150" s="15" t="str">
        <x:v>Live-action; AIGC not flagged</x:v>
      </x:c>
      <x:c r="J150" s="15" t="str">
        <x:v>Not flagged</x:v>
      </x:c>
      <x:c r="K150" s="15" t="str">
        <x:v>Mixed / General</x:v>
      </x:c>
      <x:c r="L150" s="15" t="str">
        <x:v>Second Chance / Seduction / Breakup</x:v>
      </x:c>
      <x:c r="M150" s="15" t="str">
        <x:v>Core melodrama hook</x:v>
      </x:c>
      <x:c r="N150" s="15" t="str">
        <x:v>무료부에서는 결핍과 예고, 유료부에서는 보상/진실/역전</x:v>
      </x:c>
      <x:c r="O150" s="15" t="str">
        <x:v>Medium: 광고 컷·후킹 이미지 보강용</x:v>
      </x:c>
      <x:c r="P150" s="15" t="str">
        <x:v>Lila가 유혹과 second chance의 힘을 깨닫는 이별/재회 로맨스.</x:v>
      </x:c>
      <x:c r="Q150" s="15" t="str">
        <x:v>GoodShort recent article list에 노출.</x:v>
      </x:c>
      <x:c r="R150" s="15" t="str">
        <x:v>Recent list signal.</x:v>
      </x:c>
      <x:c r="S150" s="15" t="str">
        <x:v>C / Watch</x:v>
      </x:c>
      <x:c r="T150" s="18" t="n">
        <x:v>56</x:v>
      </x:c>
      <x:c r="U150" s="15" t="str">
        <x:v>C_Watch</x:v>
      </x:c>
      <x:c r="V150" s="15" t="str">
        <x:v>KEEP</x:v>
      </x:c>
      <x:c r="W150" s="15" t="str"/>
      <x:c r="X150" s="15" t="str"/>
      <x:c r="Y150" s="15" t="str">
        <x:v>https://www.goodshort.com/resources/review/pengantin-ceo-yang-bisu-drama</x:v>
      </x:c>
      <x:c r="Z150" s="15" t="str">
        <x:v>공식 성과/광고 집행량 재확인.</x:v>
      </x:c>
    </x:row>
    <x:row r="151">
      <x:c r="A151" s="15" t="str">
        <x:v>L0150</x:v>
      </x:c>
      <x:c r="B151" s="15" t="str">
        <x:v>2025-11</x:v>
      </x:c>
      <x:c r="C151" s="15" t="str">
        <x:v>GoodShort</x:v>
      </x:c>
      <x:c r="D151" s="15" t="str">
        <x:v>Base_XLSX</x:v>
      </x:c>
      <x:c r="E151" s="15" t="n">
        <x:v>3</x:v>
      </x:c>
      <x:c r="F151" s="15" t="str">
        <x:v>Base only</x:v>
      </x:c>
      <x:c r="G151" s="15" t="str">
        <x:v>Fated to the Alpha</x:v>
      </x:c>
      <x:c r="H151" s="15" t="str">
        <x:v>Fated to the Alpha</x:v>
      </x:c>
      <x:c r="I151" s="15" t="str">
        <x:v>Live-action; AIGC not flagged</x:v>
      </x:c>
      <x:c r="J151" s="15" t="str">
        <x:v>Not flagged</x:v>
      </x:c>
      <x:c r="K151" s="15" t="str">
        <x:v>Female / Romance</x:v>
      </x:c>
      <x:c r="L151" s="15" t="str">
        <x:v>Werewolf / Fated Alpha / Luna Healer</x:v>
      </x:c>
      <x:c r="M151" s="15" t="str">
        <x:v>High-status partner/authority</x:v>
      </x:c>
      <x:c r="N151" s="15" t="str">
        <x:v>강한 케미·보호/소유 신호를 주되 감정 확정은 지연</x:v>
      </x:c>
      <x:c r="O151" s="15" t="str">
        <x:v>Medium-High: 압도적 외모·의상·공간 미감으로 실사형 보상 강화</x:v>
      </x:c>
      <x:c r="P151" s="15" t="str">
        <x:v>wolfless라 여겨진 Katya가 mate와 Luna Healer 정체를 드러냄.</x:v>
      </x:c>
      <x:c r="Q151" s="15" t="str">
        <x:v>GoodShort related article list에서 노출.</x:v>
      </x:c>
      <x:c r="R151" s="15" t="str">
        <x:v>Related/recent signal.</x:v>
      </x:c>
      <x:c r="S151" s="15" t="str">
        <x:v>C / Watch</x:v>
      </x:c>
      <x:c r="T151" s="18" t="n">
        <x:v>56</x:v>
      </x:c>
      <x:c r="U151" s="15" t="str">
        <x:v>C_Watch</x:v>
      </x:c>
      <x:c r="V151" s="15" t="str">
        <x:v>KEEP</x:v>
      </x:c>
      <x:c r="W151" s="15" t="str"/>
      <x:c r="X151" s="15" t="str"/>
      <x:c r="Y151" s="15" t="str">
        <x:v>https://www.goodshort.com/resources/review/pengantin-ceo-yang-bisu-drama</x:v>
      </x:c>
      <x:c r="Z151" s="15" t="str">
        <x:v>공식 성과/광고 집행량 재확인.</x:v>
      </x:c>
    </x:row>
    <x:row r="152">
      <x:c r="A152" s="15" t="str">
        <x:v>L0151</x:v>
      </x:c>
      <x:c r="B152" s="15" t="str">
        <x:v>2025-12</x:v>
      </x:c>
      <x:c r="C152" s="15" t="str">
        <x:v>GoodShort</x:v>
      </x:c>
      <x:c r="D152" s="15" t="str">
        <x:v>Base+Supplement_DOCX</x:v>
      </x:c>
      <x:c r="E152" s="15" t="n">
        <x:v>1</x:v>
      </x:c>
      <x:c r="F152" s="15" t="str">
        <x:v>Merged / reinforced</x:v>
      </x:c>
      <x:c r="G152" s="15" t="str">
        <x:v>Blood and Bones of the Disowned Daughter</x:v>
      </x:c>
      <x:c r="H152" s="15" t="str">
        <x:v>Blood and Bones of the Disowned Daughter</x:v>
      </x:c>
      <x:c r="I152" s="15" t="str">
        <x:v>Live-action; AIGC not flagged</x:v>
      </x:c>
      <x:c r="J152" s="15" t="str">
        <x:v>Not flagged</x:v>
      </x:c>
      <x:c r="K152" s="15" t="str">
        <x:v>Family regret / mixed</x:v>
      </x:c>
      <x:c r="L152" s="15" t="str">
        <x:v>Fake Heiress / Ruthless Revenge</x:v>
      </x:c>
      <x:c r="M152" s="15" t="str">
        <x:v>Hidden-identity reveal + Revenge/regret payoff + Child/family reunion</x:v>
      </x:c>
      <x:c r="N152" s="15" t="str">
        <x:v>정체/권력 공개 직전까지 결핍·오해를 누적</x:v>
      </x:c>
      <x:c r="O152" s="15" t="str">
        <x:v>Medium: 아이/가족 감정은 직관화하되 섬세한 연기는 과신 금지</x:v>
      </x:c>
      <x:c r="P152" s="15" t="str">
        <x:v>fake heiress to ruthless revenge라는 YouTube title hook로 확장된 late-2025 hit.</x:v>
      </x:c>
      <x:c r="Q152" s="15" t="str">
        <x:v>GoodShort Moments YouTube 5.3M views.</x:v>
      </x:c>
      <x:c r="R152" s="15" t="str">
        <x:v>Strong YouTube signal.</x:v>
      </x:c>
      <x:c r="S152" s="15" t="str">
        <x:v>A / Strong verified</x:v>
      </x:c>
      <x:c r="T152" s="18" t="n">
        <x:v>98</x:v>
      </x:c>
      <x:c r="U152" s="15" t="str">
        <x:v>A_Core</x:v>
      </x:c>
      <x:c r="V152" s="15" t="str">
        <x:v>MERGE_REINFORCE</x:v>
      </x:c>
      <x:c r="W152" s="15" t="str"/>
      <x:c r="X152" s="15" t="str">
        <x:v>보강자료 일치: 조회·팔로워 절대값이 높아 연말 재집행용 라이브러리 카드로 유효하다.</x:v>
      </x:c>
      <x:c r="Y152" s="15" t="str">
        <x:v>https://www.youtube.com/watch?v=mUytOkm7drA
https://www.goodshort.com/resources/review/blood-and-bones-of-the-disowned-daughter-sweet-ruthless-fate-waits-natalie
https://www.goodshort.com/drama/blood-and-bones-of-the-disowned-daughter-31001113972</x:v>
      </x:c>
      <x:c r="Z152" s="15" t="str"/>
    </x:row>
    <x:row r="153">
      <x:c r="A153" s="15" t="str">
        <x:v>L0152</x:v>
      </x:c>
      <x:c r="B153" s="15" t="str">
        <x:v>2025-12</x:v>
      </x:c>
      <x:c r="C153" s="15" t="str">
        <x:v>GoodShort</x:v>
      </x:c>
      <x:c r="D153" s="15" t="str">
        <x:v>Base_XLSX</x:v>
      </x:c>
      <x:c r="E153" s="15" t="n">
        <x:v>2</x:v>
      </x:c>
      <x:c r="F153" s="15" t="str">
        <x:v>Base only</x:v>
      </x:c>
      <x:c r="G153" s="15" t="str">
        <x:v>Cousins by Name, Lovers in Secret</x:v>
      </x:c>
      <x:c r="H153" s="15" t="str">
        <x:v>Cousins by Name, Lovers in Secret</x:v>
      </x:c>
      <x:c r="I153" s="15" t="str">
        <x:v>Live-action; AIGC not flagged</x:v>
      </x:c>
      <x:c r="J153" s="15" t="str">
        <x:v>Not flagged</x:v>
      </x:c>
      <x:c r="K153" s="15" t="str">
        <x:v>Female / Romance</x:v>
      </x:c>
      <x:c r="L153" s="15" t="str">
        <x:v>Forbidden Love / Cousins by Name / Secret Lovers</x:v>
      </x:c>
      <x:c r="M153" s="15" t="str">
        <x:v>Hidden-identity reveal</x:v>
      </x:c>
      <x:c r="N153" s="15" t="str">
        <x:v>정체/권력 공개 직전까지 결핍·오해를 누적</x:v>
      </x:c>
      <x:c r="O153" s="15" t="str">
        <x:v>Medium: 광고 컷·후킹 이미지 보강용</x:v>
      </x:c>
      <x:c r="P153" s="15" t="str">
        <x:v>이름상 사촌이지만 비밀 연인이 되는 금지된 로맨스.</x:v>
      </x:c>
      <x:c r="Q153" s="15" t="str">
        <x:v>GoodShort resource/search result confirms Jan 2026 article.</x:v>
      </x:c>
      <x:c r="R153" s="15" t="str">
        <x:v>2026 Jan resource; pre/post social signal.</x:v>
      </x:c>
      <x:c r="S153" s="15" t="str">
        <x:v>C / Watch</x:v>
      </x:c>
      <x:c r="T153" s="18" t="n">
        <x:v>56</x:v>
      </x:c>
      <x:c r="U153" s="15" t="str">
        <x:v>C_Watch</x:v>
      </x:c>
      <x:c r="V153" s="15" t="str">
        <x:v>KEEP</x:v>
      </x:c>
      <x:c r="W153" s="15" t="str"/>
      <x:c r="X153" s="15" t="str"/>
      <x:c r="Y153" s="15" t="str">
        <x:v>https://www.goodshort.com/resources/review/titan-era-ten-divine-beasts-rise-with-me-spoiler-alert-ordinary-young-man-travels-to-battlefield-how-will-he-create-miracles-amaze-everyone</x:v>
      </x:c>
      <x:c r="Z153" s="15" t="str">
        <x:v>공식 성과/광고 집행량 재확인.</x:v>
      </x:c>
    </x:row>
    <x:row r="154">
      <x:c r="A154" s="15" t="str">
        <x:v>L0153</x:v>
      </x:c>
      <x:c r="B154" s="15" t="str">
        <x:v>2025-12</x:v>
      </x:c>
      <x:c r="C154" s="15" t="str">
        <x:v>GoodShort</x:v>
      </x:c>
      <x:c r="D154" s="15" t="str">
        <x:v>Base_XLSX</x:v>
      </x:c>
      <x:c r="E154" s="15" t="n">
        <x:v>3</x:v>
      </x:c>
      <x:c r="F154" s="15" t="str">
        <x:v>Base only</x:v>
      </x:c>
      <x:c r="G154" s="15" t="str">
        <x:v>Bricklaying for Six Years, My Goddess Proposes to Me</x:v>
      </x:c>
      <x:c r="H154" s="15" t="str">
        <x:v>Bricklaying for Six Years, My Goddess Proposes to Me</x:v>
      </x:c>
      <x:c r="I154" s="15" t="str">
        <x:v>Live-action; AIGC not flagged</x:v>
      </x:c>
      <x:c r="J154" s="15" t="str">
        <x:v>Not flagged</x:v>
      </x:c>
      <x:c r="K154" s="15" t="str">
        <x:v>Family regret / mixed</x:v>
      </x:c>
      <x:c r="L154" s="15" t="str">
        <x:v>Construction Worker / Hidden Past / Rich Heiress / Child Recognition</x:v>
      </x:c>
      <x:c r="M154" s="15" t="str">
        <x:v>Hidden-identity reveal + Child/family reunion</x:v>
      </x:c>
      <x:c r="N154" s="15" t="str">
        <x:v>정체/권력 공개 직전까지 결핍·오해를 누적</x:v>
      </x:c>
      <x:c r="O154" s="15" t="str">
        <x:v>Medium: 아이/가족 감정은 직관화하되 섬세한 연기는 과신 금지</x:v>
      </x:c>
      <x:c r="P154" s="15" t="str">
        <x:v>벽돌공으로 일하던 남자가 6년 전 인연과 아이를 통해 여신 같은 상속녀에게 청혼받음.</x:v>
      </x:c>
      <x:c r="Q154" s="15" t="str">
        <x:v>GoodShort review: “from first episode grabbed attention”.</x:v>
      </x:c>
      <x:c r="R154" s="15" t="str">
        <x:v>Creation 2026-01-12; 6.4K page views.</x:v>
      </x:c>
      <x:c r="S154" s="15" t="str">
        <x:v>A / Strong verified</x:v>
      </x:c>
      <x:c r="T154" s="18" t="n">
        <x:v>85</x:v>
      </x:c>
      <x:c r="U154" s="15" t="str">
        <x:v>A_Core</x:v>
      </x:c>
      <x:c r="V154" s="15" t="str">
        <x:v>KEEP</x:v>
      </x:c>
      <x:c r="W154" s="15" t="str"/>
      <x:c r="X154" s="15" t="str"/>
      <x:c r="Y154" s="15" t="str">
        <x:v>https://www.goodshort.com/resources/review/bricklaying-for-six-years-my-goddess-proposes-to-me-spoiler-alert-plot-twist-construction-worker-gets-proposed-by-rich-heiress</x:v>
      </x:c>
      <x:c r="Z154" s="15" t="str"/>
    </x:row>
    <x:row r="155">
      <x:c r="A155" s="15" t="str">
        <x:v>L0154</x:v>
      </x:c>
      <x:c r="B155" s="15" t="str">
        <x:v>2026-01</x:v>
      </x:c>
      <x:c r="C155" s="15" t="str">
        <x:v>GoodShort</x:v>
      </x:c>
      <x:c r="D155" s="15" t="str">
        <x:v>Base_XLSX</x:v>
      </x:c>
      <x:c r="E155" s="15" t="n">
        <x:v>1</x:v>
      </x:c>
      <x:c r="F155" s="15" t="str">
        <x:v>Base only</x:v>
      </x:c>
      <x:c r="G155" s="15" t="str">
        <x:v>Titan Era: Ten Divine Beasts Rise with Me</x:v>
      </x:c>
      <x:c r="H155" s="15" t="str">
        <x:v>Titan Era: Ten Divine Beasts Rise with Me</x:v>
      </x:c>
      <x:c r="I155" s="15" t="str">
        <x:v>Fantasy/action; AIGC/animation candidate</x:v>
      </x:c>
      <x:c r="J155" s="15" t="str">
        <x:v>AIGC/Animation candidate</x:v>
      </x:c>
      <x:c r="K155" s="15" t="str">
        <x:v>Male / Power fantasy</x:v>
      </x:c>
      <x:c r="L155" s="15" t="str">
        <x:v>Fantasy-Male / Transmigration / System / Beast Awakening</x:v>
      </x:c>
      <x:c r="M155" s="15" t="str">
        <x:v>Progression/spectacle</x:v>
      </x:c>
      <x:c r="N155" s="15" t="str">
        <x:v>첫 각성·첫 스킬만 보여주고 상위 보스/진짜 권위는 유료부로 이월</x:v>
      </x:c>
      <x:c r="O155" s="15" t="str">
        <x:v>High: VFX·세계관·시스템 UI·비현실 스케일을 직접 보상화</x:v>
      </x:c>
      <x:c r="P155" s="15" t="str">
        <x:v>현대 청년 Flynn이 Titan Era로 전이되어 시스템과 Ten Divine Beasts로 괴수 세계를 뒤집음.</x:v>
      </x:c>
      <x:c r="Q155" s="15" t="str">
        <x:v>GoodShort review: system missions, powerful beasts, exciting episodes.</x:v>
      </x:c>
      <x:c r="R155" s="15" t="str">
        <x:v>Creation 2026-01-14/22; concluded; 2.3K+ GoodShort views; Dailymotion reposts abundant.</x:v>
      </x:c>
      <x:c r="S155" s="15" t="str">
        <x:v>A / Strong verified</x:v>
      </x:c>
      <x:c r="T155" s="18" t="n">
        <x:v>100</x:v>
      </x:c>
      <x:c r="U155" s="15" t="str">
        <x:v>A_Core</x:v>
      </x:c>
      <x:c r="V155" s="15" t="str">
        <x:v>KEEP</x:v>
      </x:c>
      <x:c r="W155" s="15" t="str"/>
      <x:c r="X155" s="15" t="str"/>
      <x:c r="Y155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55" s="15" t="str">
        <x:v>제작 AIGC 직접 표기 확인 필요.</x:v>
      </x:c>
    </x:row>
    <x:row r="156">
      <x:c r="A156" s="15" t="str">
        <x:v>L0155</x:v>
      </x:c>
      <x:c r="B156" s="15" t="str">
        <x:v>2026-01</x:v>
      </x:c>
      <x:c r="C156" s="15" t="str">
        <x:v>GoodShort</x:v>
      </x:c>
      <x:c r="D156" s="15" t="str">
        <x:v>Base_XLSX</x:v>
      </x:c>
      <x:c r="E156" s="15" t="n">
        <x:v>2</x:v>
      </x:c>
      <x:c r="F156" s="15" t="str">
        <x:v>Base only</x:v>
      </x:c>
      <x:c r="G156" s="15" t="str">
        <x:v>He's Too Late for Her Mafia Majesty</x:v>
      </x:c>
      <x:c r="H156" s="15" t="str">
        <x:v>He's Too Late for Her Mafia Majesty</x:v>
      </x:c>
      <x:c r="I156" s="15" t="str">
        <x:v>Live-action; AIGC not flagged</x:v>
      </x:c>
      <x:c r="J156" s="15" t="str">
        <x:v>Not flagged</x:v>
      </x:c>
      <x:c r="K156" s="15" t="str">
        <x:v>Female / Family-romance</x:v>
      </x:c>
      <x:c r="L156" s="15" t="str">
        <x:v>Mafia Majesty / Hidden Wife / Too-Late Regret / Mother-Son</x:v>
      </x:c>
      <x:c r="M156" s="15" t="str">
        <x:v>Hidden-identity reveal + Revenge/regret payoff + High-status partner/authority</x:v>
      </x:c>
      <x:c r="N156" s="15" t="str">
        <x:v>정체/권력 공개 직전까지 결핍·오해를 누적</x:v>
      </x:c>
      <x:c r="O156" s="15" t="str">
        <x:v>Medium-High: 압도적 외모·의상·공간 미감으로 실사형 보상 강화</x:v>
      </x:c>
      <x:c r="P156" s="15" t="str">
        <x:v>Don의 딸 Mia가 남편 Leo를 위해 숨어 살다 아들과 함께 모욕당한 뒤 mafia queen 정체로 돌아감.</x:v>
      </x:c>
      <x:c r="Q156" s="15" t="str">
        <x:v>GoodShort official drama page + resource review.</x:v>
      </x:c>
      <x:c r="R156" s="15" t="str">
        <x:v>Creation 2026-01-16/21; 1.7K page views.</x:v>
      </x:c>
      <x:c r="S156" s="15" t="str">
        <x:v>A / Strong verified</x:v>
      </x:c>
      <x:c r="T156" s="18" t="n">
        <x:v>100</x:v>
      </x:c>
      <x:c r="U156" s="15" t="str">
        <x:v>A_Core</x:v>
      </x:c>
      <x:c r="V156" s="15" t="str">
        <x:v>KEEP</x:v>
      </x:c>
      <x:c r="W156" s="15" t="str"/>
      <x:c r="X156" s="15" t="str"/>
      <x:c r="Y156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56" s="15" t="str"/>
    </x:row>
    <x:row r="157">
      <x:c r="A157" s="15" t="str">
        <x:v>L0156</x:v>
      </x:c>
      <x:c r="B157" s="15" t="str">
        <x:v>2026-01</x:v>
      </x:c>
      <x:c r="C157" s="15" t="str">
        <x:v>GoodShort</x:v>
      </x:c>
      <x:c r="D157" s="15" t="str">
        <x:v>Base_XLSX</x:v>
      </x:c>
      <x:c r="E157" s="15" t="n">
        <x:v>3</x:v>
      </x:c>
      <x:c r="F157" s="15" t="str">
        <x:v>Base only</x:v>
      </x:c>
      <x:c r="G157" s="15" t="str">
        <x:v>Bricklaying for Six Years, My Goddess Proposes to Me</x:v>
      </x:c>
      <x:c r="H157" s="15" t="str">
        <x:v>Bricklaying for Six Years, My Goddess Proposes to Me</x:v>
      </x:c>
      <x:c r="I157" s="15" t="str">
        <x:v>Live-action; AIGC not flagged</x:v>
      </x:c>
      <x:c r="J157" s="15" t="str">
        <x:v>Not flagged</x:v>
      </x:c>
      <x:c r="K157" s="15" t="str">
        <x:v>Family regret / mixed</x:v>
      </x:c>
      <x:c r="L157" s="15" t="str">
        <x:v>Urban / Worker Hero / Rich Heiress / Child Recognition</x:v>
      </x:c>
      <x:c r="M157" s="15" t="str">
        <x:v>Hidden-identity reveal + Child/family reunion</x:v>
      </x:c>
      <x:c r="N157" s="15" t="str">
        <x:v>정체/권력 공개 직전까지 결핍·오해를 누적</x:v>
      </x:c>
      <x:c r="O157" s="15" t="str">
        <x:v>Medium: 아이/가족 감정은 직관화하되 섬세한 연기는 과신 금지</x:v>
      </x:c>
      <x:c r="P157" s="15" t="str">
        <x:v>건설 노동자 Quinn과 상속녀 Sera, 딸 Lila의 오해/재회/청혼 로맨스.</x:v>
      </x:c>
      <x:c r="Q157" s="15" t="str">
        <x:v>Review: first episode grabbed attention; satisfying ending.</x:v>
      </x:c>
      <x:c r="R157" s="15" t="str">
        <x:v>Creation 2026-01-12; 6.4K page views.</x:v>
      </x:c>
      <x:c r="S157" s="15" t="str">
        <x:v>A / Strong verified</x:v>
      </x:c>
      <x:c r="T157" s="18" t="n">
        <x:v>100</x:v>
      </x:c>
      <x:c r="U157" s="15" t="str">
        <x:v>A_Core</x:v>
      </x:c>
      <x:c r="V157" s="15" t="str">
        <x:v>KEEP</x:v>
      </x:c>
      <x:c r="W157" s="15" t="str"/>
      <x:c r="X157" s="15" t="str"/>
      <x:c r="Y157" s="15" t="str">
        <x:v>https://www.goodshort.com/resources/review/bricklaying-for-six-years-my-goddess-proposes-to-me-spoiler-alert-plot-twist-construction-worker-gets-proposed-by-rich-heiress</x:v>
      </x:c>
      <x:c r="Z157" s="15" t="str"/>
    </x:row>
    <x:row r="158">
      <x:c r="A158" s="15" t="str">
        <x:v>L0157</x:v>
      </x:c>
      <x:c r="B158" s="15" t="str">
        <x:v>2026-02</x:v>
      </x:c>
      <x:c r="C158" s="15" t="str">
        <x:v>GoodShort</x:v>
      </x:c>
      <x:c r="D158" s="15" t="str">
        <x:v>Base_XLSX</x:v>
      </x:c>
      <x:c r="E158" s="15" t="n">
        <x:v>1</x:v>
      </x:c>
      <x:c r="F158" s="15" t="str">
        <x:v>Base only</x:v>
      </x:c>
      <x:c r="G158" s="15" t="str">
        <x:v>"Ordinary" Life and "Poor" Husband</x:v>
      </x:c>
      <x:c r="H158" s="15" t="str">
        <x:v>"Ordinary" Life and "Poor" Husband</x:v>
      </x:c>
      <x:c r="I158" s="15" t="str">
        <x:v>Live-action; AIGC not flagged</x:v>
      </x:c>
      <x:c r="J158" s="15" t="str">
        <x:v>Not flagged</x:v>
      </x:c>
      <x:c r="K158" s="15" t="str">
        <x:v>Female / Romance</x:v>
      </x:c>
      <x:c r="L158" s="15" t="str">
        <x:v>Hidden CEO / Fake Poor Husband / Contract Marriage</x:v>
      </x:c>
      <x:c r="M158" s="15" t="str">
        <x:v>Hidden-identity reveal + High-status partner/authority</x:v>
      </x:c>
      <x:c r="N158" s="15" t="str">
        <x:v>정체/권력 공개 직전까지 결핍·오해를 누적</x:v>
      </x:c>
      <x:c r="O158" s="15" t="str">
        <x:v>Medium-High: 압도적 외모·의상·공간 미감으로 실사형 보상 강화</x:v>
      </x:c>
      <x:c r="P158" s="15" t="str">
        <x:v>Carol이 빚 때문에 $200K 결혼을 택하고, Nigel은 CEO 정체를 숨긴 poor husband로 들어감.</x:v>
      </x:c>
      <x:c r="Q158" s="15" t="str">
        <x:v>GoodShort resource: Episode 1 identity bomb precise.</x:v>
      </x:c>
      <x:c r="R158" s="15" t="str">
        <x:v>Creation 2026-02-04.</x:v>
      </x:c>
      <x:c r="S158" s="15" t="str">
        <x:v>A / Strong verified</x:v>
      </x:c>
      <x:c r="T158" s="18" t="n">
        <x:v>88</x:v>
      </x:c>
      <x:c r="U158" s="15" t="str">
        <x:v>A_Core</x:v>
      </x:c>
      <x:c r="V158" s="15" t="str">
        <x:v>KEEP</x:v>
      </x:c>
      <x:c r="W158" s="15" t="str"/>
      <x:c r="X158" s="15" t="str"/>
      <x:c r="Y158" s="15" t="str">
        <x:v>https://www.goodshort.com/resources/review/ordinary-life-and-poor-husband-spoiler-alert-from-fake-poor-husband-to-real-feelings-how-long-can-his-hidden-ceo-identity-fool-her</x:v>
      </x:c>
      <x:c r="Z158" s="15" t="str"/>
    </x:row>
    <x:row r="159">
      <x:c r="A159" s="15" t="str">
        <x:v>L0158</x:v>
      </x:c>
      <x:c r="B159" s="15" t="str">
        <x:v>2026-02</x:v>
      </x:c>
      <x:c r="C159" s="15" t="str">
        <x:v>GoodShort</x:v>
      </x:c>
      <x:c r="D159" s="15" t="str">
        <x:v>Base_XLSX</x:v>
      </x:c>
      <x:c r="E159" s="15" t="n">
        <x:v>2</x:v>
      </x:c>
      <x:c r="F159" s="15" t="str">
        <x:v>Base only</x:v>
      </x:c>
      <x:c r="G159" s="15" t="str">
        <x:v>Titan Era: Ten Divine Beasts Rise with Me [ENG DUB]</x:v>
      </x:c>
      <x:c r="H159" s="15" t="str">
        <x:v>Titan Era: Ten Divine Beasts Rise with Me</x:v>
      </x:c>
      <x:c r="I159" s="15" t="str">
        <x:v>Fantasy/action; AIGC/animation candidate</x:v>
      </x:c>
      <x:c r="J159" s="15" t="str">
        <x:v>AIGC/Animation candidate</x:v>
      </x:c>
      <x:c r="K159" s="15" t="str">
        <x:v>Male / Power fantasy</x:v>
      </x:c>
      <x:c r="L159" s="15" t="str">
        <x:v>ENG DUB / System / Beast Battle / Male Fantasy</x:v>
      </x:c>
      <x:c r="M159" s="15" t="str">
        <x:v>Progression/spectacle</x:v>
      </x:c>
      <x:c r="N159" s="15" t="str">
        <x:v>첫 각성·첫 스킬만 보여주고 상위 보스/진짜 권위는 유료부로 이월</x:v>
      </x:c>
      <x:c r="O159" s="15" t="str">
        <x:v>High: VFX·세계관·시스템 UI·비현실 스케일을 직접 보상화</x:v>
      </x:c>
      <x:c r="P159" s="15" t="str">
        <x:v>F-tier로 조롱받던 Flynn이 system choice로 Heaven-tier reward를 얻고 monster war를 뒤집음.</x:v>
      </x:c>
      <x:c r="Q159" s="15" t="str">
        <x:v>Dailymotion and YouTube repost/search activation; GoodShort resource notes it is hard to stop watching.</x:v>
      </x:c>
      <x:c r="R159" s="15" t="str">
        <x:v>Jan-Feb distribution signal.</x:v>
      </x:c>
      <x:c r="S159" s="15" t="str">
        <x:v>A / Strong verified</x:v>
      </x:c>
      <x:c r="T159" s="18" t="n">
        <x:v>88</x:v>
      </x:c>
      <x:c r="U159" s="15" t="str">
        <x:v>A_Core</x:v>
      </x:c>
      <x:c r="V159" s="15" t="str">
        <x:v>KEEP</x:v>
      </x:c>
      <x:c r="W159" s="15" t="str"/>
      <x:c r="X159" s="15" t="str"/>
      <x:c r="Y159" s="15" t="str">
        <x:v>https://www.goodshort.com/resources/review/eng-dub-titan-era-ten-divine-beasts-rise-with-me-spoiler-alert-can-he-make-a-comeback-after-the-system-appears | https://www.goodshort.com/resources/review/titan-era-ten-divine-beasts-rise-with-me-spoiler-alert-ordinary-young-man-travels-to-battlefield-how-will-he-create-miracles-amaze-everyone</x:v>
      </x:c>
      <x:c r="Z159" s="15" t="str">
        <x:v>제작 AIGC 직접 표기 확인 필요.</x:v>
      </x:c>
    </x:row>
    <x:row r="160">
      <x:c r="A160" s="15" t="str">
        <x:v>L0159</x:v>
      </x:c>
      <x:c r="B160" s="15" t="str">
        <x:v>2026-02</x:v>
      </x:c>
      <x:c r="C160" s="15" t="str">
        <x:v>GoodShort</x:v>
      </x:c>
      <x:c r="D160" s="15" t="str">
        <x:v>Base_XLSX</x:v>
      </x:c>
      <x:c r="E160" s="15" t="n">
        <x:v>3</x:v>
      </x:c>
      <x:c r="F160" s="15" t="str">
        <x:v>Base only</x:v>
      </x:c>
      <x:c r="G160" s="15" t="str">
        <x:v>He's Too Late for Her Mafia Majesty</x:v>
      </x:c>
      <x:c r="H160" s="15" t="str">
        <x:v>He's Too Late for Her Mafia Majesty</x:v>
      </x:c>
      <x:c r="I160" s="15" t="str">
        <x:v>Live-action; AIGC not flagged</x:v>
      </x:c>
      <x:c r="J160" s="15" t="str">
        <x:v>Not flagged</x:v>
      </x:c>
      <x:c r="K160" s="15" t="str">
        <x:v>Female / Family-romance</x:v>
      </x:c>
      <x:c r="L160" s="15" t="str">
        <x:v>Mafia / Regret / Female Power</x:v>
      </x:c>
      <x:c r="M160" s="15" t="str">
        <x:v>Revenge/regret payoff + High-status partner/authority + Child/family reunion</x:v>
      </x:c>
      <x:c r="N160" s="15" t="str">
        <x:v>굴욕/배신 후 첫 반격을 예고하고 본격 응징은 지연</x:v>
      </x:c>
      <x:c r="O160" s="15" t="str">
        <x:v>Medium-High: 압도적 외모·의상·공간 미감으로 실사형 보상 강화</x:v>
      </x:c>
      <x:c r="P160" s="15" t="str">
        <x:v>마피아 Don의 딸이 가족과 아들을 위해 돌아서는 too-late revenge romance.</x:v>
      </x:c>
      <x:c r="Q160" s="15" t="str">
        <x:v>YouTube/FB fragments and full-episode playlists appear.</x:v>
      </x:c>
      <x:c r="R160" s="15" t="str">
        <x:v>Sustained social clip signal.</x:v>
      </x:c>
      <x:c r="S160" s="15" t="str">
        <x:v>B / Useful verified</x:v>
      </x:c>
      <x:c r="T160" s="18" t="n">
        <x:v>73</x:v>
      </x:c>
      <x:c r="U160" s="15" t="str">
        <x:v>B_Strong</x:v>
      </x:c>
      <x:c r="V160" s="15" t="str">
        <x:v>KEEP</x:v>
      </x:c>
      <x:c r="W160" s="15" t="str"/>
      <x:c r="X160" s="15" t="str"/>
      <x:c r="Y16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60" s="15" t="str"/>
    </x:row>
    <x:row r="161">
      <x:c r="A161" s="15" t="str">
        <x:v>L0160</x:v>
      </x:c>
      <x:c r="B161" s="15" t="str">
        <x:v>2026-02</x:v>
      </x:c>
      <x:c r="C161" s="15" t="str">
        <x:v>GoodShort</x:v>
      </x:c>
      <x:c r="D161" s="15" t="str">
        <x:v>Base_XLSX</x:v>
      </x:c>
      <x:c r="E161" s="15" t="n">
        <x:v>4</x:v>
      </x:c>
      <x:c r="F161" s="15" t="str">
        <x:v>Base only</x:v>
      </x:c>
      <x:c r="G161" s="15" t="str">
        <x:v>Cousins by Name, Lovers in Secret</x:v>
      </x:c>
      <x:c r="H161" s="15" t="str">
        <x:v>Cousins by Name, Lovers in Secret</x:v>
      </x:c>
      <x:c r="I161" s="15" t="str">
        <x:v>Live-action; AIGC not flagged</x:v>
      </x:c>
      <x:c r="J161" s="15" t="str">
        <x:v>Not flagged</x:v>
      </x:c>
      <x:c r="K161" s="15" t="str">
        <x:v>Female / Family-romance</x:v>
      </x:c>
      <x:c r="L161" s="15" t="str">
        <x:v>Forbidden Love / Secret Lovers</x:v>
      </x:c>
      <x:c r="M161" s="15" t="str">
        <x:v>Hidden-identity reveal + Child/family reunion</x:v>
      </x:c>
      <x:c r="N161" s="15" t="str">
        <x:v>정체/권력 공개 직전까지 결핍·오해를 누적</x:v>
      </x:c>
      <x:c r="O161" s="15" t="str">
        <x:v>Medium: 아이/가족 감정은 직관화하되 섬세한 연기는 과신 금지</x:v>
      </x:c>
      <x:c r="P161" s="15" t="str">
        <x:v>이름상 가족 관계를 위장한 비밀 연애와 금기 긴장.</x:v>
      </x:c>
      <x:c r="Q161" s="15" t="str">
        <x:v>GoodShort related article from Titan page.</x:v>
      </x:c>
      <x:c r="R161" s="15" t="str">
        <x:v>Jan-Feb resource signal.</x:v>
      </x:c>
      <x:c r="S161" s="15" t="str">
        <x:v>C / Watch</x:v>
      </x:c>
      <x:c r="T161" s="18" t="n">
        <x:v>56</x:v>
      </x:c>
      <x:c r="U161" s="15" t="str">
        <x:v>C_Watch</x:v>
      </x:c>
      <x:c r="V161" s="15" t="str">
        <x:v>POSSIBLE_REPLACE_BY_SUPPLEMENT</x:v>
      </x:c>
      <x:c r="W161" s="15" t="str">
        <x:v>The Romance System in a Dead World</x:v>
      </x:c>
      <x:c r="X161" s="15" t="str">
        <x:v>동월·동플랫폼 보강자료 후보가 있고, 현행 행의 confidence가 Low라 교체 후보.</x:v>
      </x:c>
      <x:c r="Y161" s="15" t="str">
        <x:v>https://www.goodshort.com/resources/review/titan-era-ten-divine-beasts-rise-with-me-spoiler-alert-ordinary-young-man-travels-to-battlefield-how-will-he-create-miracles-amaze-everyone</x:v>
      </x:c>
      <x:c r="Z161" s="15" t="str">
        <x:v>공식 성과/광고 집행량 재확인.</x:v>
      </x:c>
    </x:row>
    <x:row r="162">
      <x:c r="A162" s="15" t="str">
        <x:v>L0161</x:v>
      </x:c>
      <x:c r="B162" s="15" t="str">
        <x:v>2026-02</x:v>
      </x:c>
      <x:c r="C162" s="15" t="str">
        <x:v>GoodShort</x:v>
      </x:c>
      <x:c r="D162" s="15" t="str">
        <x:v>Base_XLSX</x:v>
      </x:c>
      <x:c r="E162" s="15" t="n">
        <x:v>5</x:v>
      </x:c>
      <x:c r="F162" s="15" t="str">
        <x:v>Base only</x:v>
      </x:c>
      <x:c r="G162" s="15" t="str">
        <x:v>Blooming Under Your Love</x:v>
      </x:c>
      <x:c r="H162" s="15" t="str">
        <x:v>Blooming Under Your Love</x:v>
      </x:c>
      <x:c r="I162" s="15" t="str">
        <x:v>Live-action; AIGC not flagged</x:v>
      </x:c>
      <x:c r="J162" s="15" t="str">
        <x:v>Not flagged</x:v>
      </x:c>
      <x:c r="K162" s="15" t="str">
        <x:v>Female / Romance</x:v>
      </x:c>
      <x:c r="L162" s="15" t="str">
        <x:v>One-Night Stand / CEO / Secret Love</x:v>
      </x:c>
      <x:c r="M162" s="15" t="str">
        <x:v>Hidden-identity reveal + High-status partner/authority</x:v>
      </x:c>
      <x:c r="N162" s="15" t="str">
        <x:v>정체/권력 공개 직전까지 결핍·오해를 누적</x:v>
      </x:c>
      <x:c r="O162" s="15" t="str">
        <x:v>Medium-High: 압도적 외모·의상·공간 미감으로 실사형 보상 강화</x:v>
      </x:c>
      <x:c r="P162" s="15" t="str">
        <x:v>one-night stand 후 CEO를 오랫동안 사랑한 여성이 다시 상승하는 로맨스.</x:v>
      </x:c>
      <x:c r="Q162" s="15" t="str">
        <x:v>GoodShort review page with Jan 29 creation.</x:v>
      </x:c>
      <x:c r="R162" s="15" t="str">
        <x:v>Resource page signal.</x:v>
      </x:c>
      <x:c r="S162" s="15" t="str">
        <x:v>C / Watch</x:v>
      </x:c>
      <x:c r="T162" s="18" t="n">
        <x:v>56</x:v>
      </x:c>
      <x:c r="U162" s="15" t="str">
        <x:v>C_Watch</x:v>
      </x:c>
      <x:c r="V162" s="15" t="str">
        <x:v>POSSIBLE_REPLACE_BY_SUPPLEMENT</x:v>
      </x:c>
      <x:c r="W162" s="15" t="str">
        <x:v>The Romance System in a Dead World</x:v>
      </x:c>
      <x:c r="X162" s="15" t="str">
        <x:v>동월·동플랫폼 보강자료 후보가 있고, 현행 행의 confidence가 Low라 교체 후보.</x:v>
      </x:c>
      <x:c r="Y162" s="15" t="str">
        <x:v>https://www.goodshort.com/resources/review/blooming-under-your-love</x:v>
      </x:c>
      <x:c r="Z162" s="15" t="str">
        <x:v>공식 성과/광고 집행량 재확인.</x:v>
      </x:c>
    </x:row>
    <x:row r="163">
      <x:c r="A163" s="15" t="str">
        <x:v>L0162</x:v>
      </x:c>
      <x:c r="B163" s="15" t="str">
        <x:v>2026-03</x:v>
      </x:c>
      <x:c r="C163" s="15" t="str">
        <x:v>GoodShort</x:v>
      </x:c>
      <x:c r="D163" s="15" t="str">
        <x:v>Base_XLSX</x:v>
      </x:c>
      <x:c r="E163" s="15" t="n">
        <x:v>1</x:v>
      </x:c>
      <x:c r="F163" s="15" t="str">
        <x:v>Base only</x:v>
      </x:c>
      <x:c r="G163" s="15" t="str">
        <x:v>Sneak Me in Your Closet, My Prince</x:v>
      </x:c>
      <x:c r="H163" s="15" t="str">
        <x:v>Sneak Me in Your Closet, My Prince</x:v>
      </x:c>
      <x:c r="I163" s="15" t="str">
        <x:v>Live-action; AIGC not flagged</x:v>
      </x:c>
      <x:c r="J163" s="15" t="str">
        <x:v>Not flagged</x:v>
      </x:c>
      <x:c r="K163" s="15" t="str">
        <x:v>Female / Romance</x:v>
      </x:c>
      <x:c r="L163" s="15" t="str">
        <x:v>BL / Mafia / Runaway Heir</x:v>
      </x:c>
      <x:c r="M163" s="15" t="str">
        <x:v>Hidden-identity reveal + High-status partner/authority</x:v>
      </x:c>
      <x:c r="N163" s="15" t="str">
        <x:v>정체/권력 공개 직전까지 결핍·오해를 누적</x:v>
      </x:c>
      <x:c r="O163" s="15" t="str">
        <x:v>Medium-High: 압도적 외모·의상·공간 미감으로 실사형 보상 강화</x:v>
      </x:c>
      <x:c r="P163" s="15" t="str">
        <x:v>마피아 후계자가 closet에 숨으며 BL forbidden romance가 전개.</x:v>
      </x:c>
      <x:c r="Q163" s="15" t="str">
        <x:v>GoodShort resource update Jan 2026; 12.7K+ views and related recs.</x:v>
      </x:c>
      <x:c r="R163" s="15" t="str">
        <x:v>Sustained search/social signal.</x:v>
      </x:c>
      <x:c r="S163" s="15" t="str">
        <x:v>A / Strong verified</x:v>
      </x:c>
      <x:c r="T163" s="18" t="n">
        <x:v>88</x:v>
      </x:c>
      <x:c r="U163" s="15" t="str">
        <x:v>A_Core</x:v>
      </x:c>
      <x:c r="V163" s="15" t="str">
        <x:v>KEEP</x:v>
      </x:c>
      <x:c r="W163" s="15" t="str"/>
      <x:c r="X163" s="15" t="str"/>
      <x:c r="Y163" s="15" t="str">
        <x:v>https://www.goodshort.com/resources/review/sneak-me-in-your-closet-my-prince</x:v>
      </x:c>
      <x:c r="Z163" s="15" t="str"/>
    </x:row>
    <x:row r="164">
      <x:c r="A164" s="15" t="str">
        <x:v>L0163</x:v>
      </x:c>
      <x:c r="B164" s="15" t="str">
        <x:v>2026-03</x:v>
      </x:c>
      <x:c r="C164" s="15" t="str">
        <x:v>GoodShort</x:v>
      </x:c>
      <x:c r="D164" s="15" t="str">
        <x:v>Base_XLSX</x:v>
      </x:c>
      <x:c r="E164" s="15" t="n">
        <x:v>2</x:v>
      </x:c>
      <x:c r="F164" s="15" t="str">
        <x:v>Base only</x:v>
      </x:c>
      <x:c r="G164" s="15" t="str">
        <x:v>Titan Era: Ten Divine Beasts Rise with Me</x:v>
      </x:c>
      <x:c r="H164" s="15" t="str">
        <x:v>Titan Era: Ten Divine Beasts Rise with Me</x:v>
      </x:c>
      <x:c r="I164" s="15" t="str">
        <x:v>Fantasy/action; AIGC/animation candidate</x:v>
      </x:c>
      <x:c r="J164" s="15" t="str">
        <x:v>AIGC/Animation candidate</x:v>
      </x:c>
      <x:c r="K164" s="15" t="str">
        <x:v>Male / Power fantasy</x:v>
      </x:c>
      <x:c r="L164" s="15" t="str">
        <x:v>Fantasy-Male / System / Monster War</x:v>
      </x:c>
      <x:c r="M164" s="15" t="str">
        <x:v>Progression/spectacle</x:v>
      </x:c>
      <x:c r="N164" s="15" t="str">
        <x:v>첫 각성·첫 스킬만 보여주고 상위 보스/진짜 권위는 유료부로 이월</x:v>
      </x:c>
      <x:c r="O164" s="15" t="str">
        <x:v>High: VFX·세계관·시스템 UI·비현실 스케일을 직접 보상화</x:v>
      </x:c>
      <x:c r="P164" s="15" t="str">
        <x:v>monster invasion + system + divine beasts를 세로형 남성향으로 압축.</x:v>
      </x:c>
      <x:c r="Q164" s="15" t="str">
        <x:v>Dailymotion reposts include multiple long full-movie uploads around Jan-Mar 2026.</x:v>
      </x:c>
      <x:c r="R164" s="15" t="str">
        <x:v>Sustained repost signal.</x:v>
      </x:c>
      <x:c r="S164" s="15" t="str">
        <x:v>A / Strong verified</x:v>
      </x:c>
      <x:c r="T164" s="18" t="n">
        <x:v>88</x:v>
      </x:c>
      <x:c r="U164" s="15" t="str">
        <x:v>A_Core</x:v>
      </x:c>
      <x:c r="V164" s="15" t="str">
        <x:v>KEEP</x:v>
      </x:c>
      <x:c r="W164" s="15" t="str"/>
      <x:c r="X164" s="15" t="str"/>
      <x:c r="Y164" s="15" t="str">
        <x:v>https://www.goodshort.com/resources/review/titan-era-ten-divine-beasts-rise-with-me-spoiler-alert-ordinary-young-man-travels-to-battlefield-how-will-he-create-miracles-amaze-everyone | https://www.dailymotion.com/video/x9yhphs</x:v>
      </x:c>
      <x:c r="Z164" s="15" t="str">
        <x:v>제작 AIGC 직접 표기 확인 필요.</x:v>
      </x:c>
    </x:row>
    <x:row r="165">
      <x:c r="A165" s="15" t="str">
        <x:v>L0164</x:v>
      </x:c>
      <x:c r="B165" s="15" t="str">
        <x:v>2026-03</x:v>
      </x:c>
      <x:c r="C165" s="15" t="str">
        <x:v>GoodShort</x:v>
      </x:c>
      <x:c r="D165" s="15" t="str">
        <x:v>Base_XLSX</x:v>
      </x:c>
      <x:c r="E165" s="15" t="n">
        <x:v>3</x:v>
      </x:c>
      <x:c r="F165" s="15" t="str">
        <x:v>Base only</x:v>
      </x:c>
      <x:c r="G165" s="15" t="str">
        <x:v>Blood and Bones of the Disowned Daughter</x:v>
      </x:c>
      <x:c r="H165" s="15" t="str">
        <x:v>Blood and Bones of the Disowned Daughter</x:v>
      </x:c>
      <x:c r="I165" s="15" t="str">
        <x:v>Live-action; AIGC not flagged</x:v>
      </x:c>
      <x:c r="J165" s="15" t="str">
        <x:v>Not flagged</x:v>
      </x:c>
      <x:c r="K165" s="15" t="str">
        <x:v>Family regret / mixed</x:v>
      </x:c>
      <x:c r="L165" s="15" t="str">
        <x:v>Fake Heiress / Family Revenge</x:v>
      </x:c>
      <x:c r="M165" s="15" t="str">
        <x:v>Hidden-identity reveal + Revenge/regret payoff + Child/family reunion</x:v>
      </x:c>
      <x:c r="N165" s="15" t="str">
        <x:v>정체/권력 공개 직전까지 결핍·오해를 누적</x:v>
      </x:c>
      <x:c r="O165" s="15" t="str">
        <x:v>Medium: 아이/가족 감정은 직관화하되 섬세한 연기는 과신 금지</x:v>
      </x:c>
      <x:c r="P165" s="15" t="str">
        <x:v>가짜 상속녀와 가족의 누명 이후 여주가 ruthless revenge로 귀환.</x:v>
      </x:c>
      <x:c r="Q165" s="15" t="str">
        <x:v>YouTube 5.3M views continues as public hit signal.</x:v>
      </x:c>
      <x:c r="R165" s="15" t="str">
        <x:v>Sustained YouTube signal.</x:v>
      </x:c>
      <x:c r="S165" s="15" t="str">
        <x:v>A / Strong verified</x:v>
      </x:c>
      <x:c r="T165" s="18" t="n">
        <x:v>88</x:v>
      </x:c>
      <x:c r="U165" s="15" t="str">
        <x:v>A_Core</x:v>
      </x:c>
      <x:c r="V165" s="15" t="str">
        <x:v>KEEP</x:v>
      </x:c>
      <x:c r="W165" s="15" t="str"/>
      <x:c r="X165" s="15" t="str"/>
      <x:c r="Y165" s="15" t="str">
        <x:v>https://www.youtube.com/watch?v=mUytOkm7drA | https://www.goodshort.com/resources/review/blood-and-bones-of-the-disowned-daughter-sweet-ruthless-fate-waits-natalie</x:v>
      </x:c>
      <x:c r="Z165" s="15" t="str"/>
    </x:row>
    <x:row r="166">
      <x:c r="A166" s="15" t="str">
        <x:v>L0165</x:v>
      </x:c>
      <x:c r="B166" s="15" t="str">
        <x:v>2026-03</x:v>
      </x:c>
      <x:c r="C166" s="15" t="str">
        <x:v>GoodShort</x:v>
      </x:c>
      <x:c r="D166" s="15" t="str">
        <x:v>Base_XLSX</x:v>
      </x:c>
      <x:c r="E166" s="15" t="n">
        <x:v>4</x:v>
      </x:c>
      <x:c r="F166" s="15" t="str">
        <x:v>Base only</x:v>
      </x:c>
      <x:c r="G166" s="15" t="str">
        <x:v>The Queen's Triumph</x:v>
      </x:c>
      <x:c r="H166" s="15" t="str">
        <x:v>The Queen's Triumph</x:v>
      </x:c>
      <x:c r="I166" s="15" t="str">
        <x:v>Live-action; AIGC not flagged</x:v>
      </x:c>
      <x:c r="J166" s="15" t="str">
        <x:v>Not flagged</x:v>
      </x:c>
      <x:c r="K166" s="15" t="str">
        <x:v>Family regret / mixed</x:v>
      </x:c>
      <x:c r="L166" s="15" t="str">
        <x:v>Urban / Female Business Revenge</x:v>
      </x:c>
      <x:c r="M166" s="15" t="str">
        <x:v>Revenge/regret payoff</x:v>
      </x:c>
      <x:c r="N166" s="15" t="str">
        <x:v>굴욕/배신 후 첫 반격을 예고하고 본격 응징은 지연</x:v>
      </x:c>
      <x:c r="O166" s="15" t="str">
        <x:v>Medium: 아이/가족 감정은 직관화하되 섬세한 연기는 과신 금지</x:v>
      </x:c>
      <x:c r="P166" s="15" t="str">
        <x:v>Makayla가 Aeriesia Inc. 권력을 되찾고 Garcia family의 무시를 뒤집음.</x:v>
      </x:c>
      <x:c r="Q166" s="15" t="str">
        <x:v>Resource has 79 eps and 14.5K views.</x:v>
      </x:c>
      <x:c r="R166" s="15" t="str">
        <x:v>Legacy title for library.</x:v>
      </x:c>
      <x:c r="S166" s="15" t="str">
        <x:v>B / Useful verified</x:v>
      </x:c>
      <x:c r="T166" s="18" t="n">
        <x:v>73</x:v>
      </x:c>
      <x:c r="U166" s="15" t="str">
        <x:v>B_Strong</x:v>
      </x:c>
      <x:c r="V166" s="15" t="str">
        <x:v>WATCH_REPLACE</x:v>
      </x:c>
      <x:c r="W166" s="15" t="str">
        <x:v>Too Late, Alphas; My New Daddy is a Five-Star General</x:v>
      </x:c>
      <x:c r="X166" s="15" t="str">
        <x:v>현행 medium 하위 슬롯. 보강자료 증거 강도에 따라 교체 가능.</x:v>
      </x:c>
      <x:c r="Y166" s="15" t="str">
        <x:v>https://www.goodshort.com/resources/review/the-queen-s-triumph-drama</x:v>
      </x:c>
      <x:c r="Z166" s="15" t="str"/>
    </x:row>
    <x:row r="167">
      <x:c r="A167" s="15" t="str">
        <x:v>L0166</x:v>
      </x:c>
      <x:c r="B167" s="15" t="str">
        <x:v>2026-03</x:v>
      </x:c>
      <x:c r="C167" s="15" t="str">
        <x:v>GoodShort</x:v>
      </x:c>
      <x:c r="D167" s="15" t="str">
        <x:v>Base_XLSX</x:v>
      </x:c>
      <x:c r="E167" s="15" t="n">
        <x:v>5</x:v>
      </x:c>
      <x:c r="F167" s="15" t="str">
        <x:v>Base only</x:v>
      </x:c>
      <x:c r="G167" s="15" t="str">
        <x:v>My Exclusive Wish Granter</x:v>
      </x:c>
      <x:c r="H167" s="15" t="str">
        <x:v>My Exclusive Wish Granter</x:v>
      </x:c>
      <x:c r="I167" s="15" t="str">
        <x:v>Live-action; AIGC not flagged</x:v>
      </x:c>
      <x:c r="J167" s="15" t="str">
        <x:v>AIGC-friendly genre</x:v>
      </x:c>
      <x:c r="K167" s="15" t="str">
        <x:v>Male / Power fantasy</x:v>
      </x:c>
      <x:c r="L167" s="15" t="str">
        <x:v>Fantasy-Male / Wish System</x:v>
      </x:c>
      <x:c r="M167" s="15" t="str">
        <x:v>Revenge/regret payoff + Progression/spectacle</x:v>
      </x:c>
      <x:c r="N167" s="15" t="str">
        <x:v>첫 각성·첫 스킬만 보여주고 상위 보스/진짜 권위는 유료부로 이월</x:v>
      </x:c>
      <x:c r="O167" s="15" t="str">
        <x:v>High: VFX·세계관·시스템 UI·비현실 스케일을 직접 보상화</x:v>
      </x:c>
      <x:c r="P167" s="15" t="str">
        <x:v>The Supreme One/wish system로 도시 판타지 보상을 제공.</x:v>
      </x:c>
      <x:c r="Q167" s="15" t="str">
        <x:v>Resource page and male fantasy classification.</x:v>
      </x:c>
      <x:c r="R167" s="15" t="str">
        <x:v>Legacy male-fantasy reference.</x:v>
      </x:c>
      <x:c r="S167" s="15" t="str">
        <x:v>B / Useful verified</x:v>
      </x:c>
      <x:c r="T167" s="18" t="n">
        <x:v>73</x:v>
      </x:c>
      <x:c r="U167" s="15" t="str">
        <x:v>B_Strong</x:v>
      </x:c>
      <x:c r="V167" s="15" t="str">
        <x:v>WATCH_REPLACE</x:v>
      </x:c>
      <x:c r="W167" s="15" t="str">
        <x:v>Too Late, Alphas; My New Daddy is a Five-Star General</x:v>
      </x:c>
      <x:c r="X167" s="15" t="str">
        <x:v>현행 medium 하위 슬롯. 보강자료 증거 강도에 따라 교체 가능.</x:v>
      </x:c>
      <x:c r="Y167" s="15" t="str">
        <x:v>https://www.goodshort.com/resources/review/my-exclusive-wish-granter-drama</x:v>
      </x:c>
      <x:c r="Z167" s="15" t="str">
        <x:v>제작 AIGC 직접 표기 확인 필요.</x:v>
      </x:c>
    </x:row>
    <x:row r="168">
      <x:c r="A168" s="15" t="str">
        <x:v>L0167</x:v>
      </x:c>
      <x:c r="B168" s="15" t="str">
        <x:v>2026-04</x:v>
      </x:c>
      <x:c r="C168" s="15" t="str">
        <x:v>GoodShort</x:v>
      </x:c>
      <x:c r="D168" s="15" t="str">
        <x:v>Base_XLSX</x:v>
      </x:c>
      <x:c r="E168" s="15" t="n">
        <x:v>1</x:v>
      </x:c>
      <x:c r="F168" s="15" t="str">
        <x:v>Base only</x:v>
      </x:c>
      <x:c r="G168" s="15" t="str">
        <x:v>Titan Era: Ten Divine Beasts Rise with Me</x:v>
      </x:c>
      <x:c r="H168" s="15" t="str">
        <x:v>Titan Era: Ten Divine Beasts Rise with Me</x:v>
      </x:c>
      <x:c r="I168" s="15" t="str">
        <x:v>Fantasy/action; AIGC/animation candidate</x:v>
      </x:c>
      <x:c r="J168" s="15" t="str">
        <x:v>AIGC/Animation candidate</x:v>
      </x:c>
      <x:c r="K168" s="15" t="str">
        <x:v>Male / Power fantasy</x:v>
      </x:c>
      <x:c r="L168" s="15" t="str">
        <x:v>Fantasy-Male / System / Beast Awakening</x:v>
      </x:c>
      <x:c r="M168" s="15" t="str">
        <x:v>Progression/spectacle</x:v>
      </x:c>
      <x:c r="N168" s="15" t="str">
        <x:v>첫 각성·첫 스킬만 보여주고 상위 보스/진짜 권위는 유료부로 이월</x:v>
      </x:c>
      <x:c r="O168" s="15" t="str">
        <x:v>High: VFX·세계관·시스템 UI·비현실 스케일을 직접 보상화</x:v>
      </x:c>
      <x:c r="P168" s="15" t="str">
        <x:v>GoodShort 남성향 fantasy/system benchmark로 계속 활용 가능.</x:v>
      </x:c>
      <x:c r="Q168" s="15" t="str">
        <x:v>GoodShort review says concluded and highly recommended.</x:v>
      </x:c>
      <x:c r="R168" s="15" t="str">
        <x:v>Ongoing reference title.</x:v>
      </x:c>
      <x:c r="S168" s="15" t="str">
        <x:v>A / Strong verified</x:v>
      </x:c>
      <x:c r="T168" s="18" t="n">
        <x:v>88</x:v>
      </x:c>
      <x:c r="U168" s="15" t="str">
        <x:v>A_Core</x:v>
      </x:c>
      <x:c r="V168" s="15" t="str">
        <x:v>KEEP</x:v>
      </x:c>
      <x:c r="W168" s="15" t="str"/>
      <x:c r="X168" s="15" t="str"/>
      <x:c r="Y168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68" s="15" t="str">
        <x:v>제작 AIGC 직접 표기 확인 필요.</x:v>
      </x:c>
    </x:row>
    <x:row r="169">
      <x:c r="A169" s="15" t="str">
        <x:v>L0168</x:v>
      </x:c>
      <x:c r="B169" s="15" t="str">
        <x:v>2026-04</x:v>
      </x:c>
      <x:c r="C169" s="15" t="str">
        <x:v>GoodShort</x:v>
      </x:c>
      <x:c r="D169" s="15" t="str">
        <x:v>Base_XLSX</x:v>
      </x:c>
      <x:c r="E169" s="15" t="n">
        <x:v>2</x:v>
      </x:c>
      <x:c r="F169" s="15" t="str">
        <x:v>Base only</x:v>
      </x:c>
      <x:c r="G169" s="15" t="str">
        <x:v>Blood and Bones of the Disowned Daughter</x:v>
      </x:c>
      <x:c r="H169" s="15" t="str">
        <x:v>Blood and Bones of the Disowned Daughter</x:v>
      </x:c>
      <x:c r="I169" s="15" t="str">
        <x:v>Live-action; AIGC not flagged</x:v>
      </x:c>
      <x:c r="J169" s="15" t="str">
        <x:v>Not flagged</x:v>
      </x:c>
      <x:c r="K169" s="15" t="str">
        <x:v>Family regret / mixed</x:v>
      </x:c>
      <x:c r="L169" s="15" t="str">
        <x:v>Fake Heiress / Revenge / Family Betrayal</x:v>
      </x:c>
      <x:c r="M169" s="15" t="str">
        <x:v>Hidden-identity reveal + Revenge/regret payoff + Child/family reunion</x:v>
      </x:c>
      <x:c r="N169" s="15" t="str">
        <x:v>정체/권력 공개 직전까지 결핍·오해를 누적</x:v>
      </x:c>
      <x:c r="O169" s="15" t="str">
        <x:v>Medium: 아이/가족 감정은 직관화하되 섬세한 연기는 과신 금지</x:v>
      </x:c>
      <x:c r="P169" s="15" t="str">
        <x:v>여성향 fake heiress/revenge benchmark.</x:v>
      </x:c>
      <x:c r="Q169" s="15" t="str">
        <x:v>5.3M YouTube signal.</x:v>
      </x:c>
      <x:c r="R169" s="15" t="str">
        <x:v>Ongoing library hit.</x:v>
      </x:c>
      <x:c r="S169" s="15" t="str">
        <x:v>A / Strong verified</x:v>
      </x:c>
      <x:c r="T169" s="18" t="n">
        <x:v>88</x:v>
      </x:c>
      <x:c r="U169" s="15" t="str">
        <x:v>A_Core</x:v>
      </x:c>
      <x:c r="V169" s="15" t="str">
        <x:v>KEEP</x:v>
      </x:c>
      <x:c r="W169" s="15" t="str"/>
      <x:c r="X169" s="15" t="str"/>
      <x:c r="Y169" s="15" t="str">
        <x:v>https://www.youtube.com/watch?v=mUytOkm7drA | https://www.goodshort.com/resources/review/blood-and-bones-of-the-disowned-daughter-sweet-ruthless-fate-waits-natalie</x:v>
      </x:c>
      <x:c r="Z169" s="15" t="str"/>
    </x:row>
    <x:row r="170">
      <x:c r="A170" s="15" t="str">
        <x:v>L0169</x:v>
      </x:c>
      <x:c r="B170" s="15" t="str">
        <x:v>2026-04</x:v>
      </x:c>
      <x:c r="C170" s="15" t="str">
        <x:v>GoodShort</x:v>
      </x:c>
      <x:c r="D170" s="15" t="str">
        <x:v>Base_XLSX</x:v>
      </x:c>
      <x:c r="E170" s="15" t="n">
        <x:v>3</x:v>
      </x:c>
      <x:c r="F170" s="15" t="str">
        <x:v>Base only</x:v>
      </x:c>
      <x:c r="G170" s="15" t="str">
        <x:v>He's Too Late for Her Mafia Majesty</x:v>
      </x:c>
      <x:c r="H170" s="15" t="str">
        <x:v>He's Too Late for Her Mafia Majesty</x:v>
      </x:c>
      <x:c r="I170" s="15" t="str">
        <x:v>Live-action; AIGC not flagged</x:v>
      </x:c>
      <x:c r="J170" s="15" t="str">
        <x:v>Not flagged</x:v>
      </x:c>
      <x:c r="K170" s="15" t="str">
        <x:v>Female / Romance</x:v>
      </x:c>
      <x:c r="L170" s="15" t="str">
        <x:v>Mafia / Too-Late Regret / Mother Protection</x:v>
      </x:c>
      <x:c r="M170" s="15" t="str">
        <x:v>Revenge/regret payoff + High-status partner/authority</x:v>
      </x:c>
      <x:c r="N170" s="15" t="str">
        <x:v>굴욕/배신 후 첫 반격을 예고하고 본격 응징은 지연</x:v>
      </x:c>
      <x:c r="O170" s="15" t="str">
        <x:v>Medium-High: 압도적 외모·의상·공간 미감으로 실사형 보상 강화</x:v>
      </x:c>
      <x:c r="P170" s="15" t="str">
        <x:v>마피아 여왕 정체회수·아들 보호·늦은 후회 구조.</x:v>
      </x:c>
      <x:c r="Q170" s="15" t="str">
        <x:v>Official + resource review signal.</x:v>
      </x:c>
      <x:c r="R170" s="15" t="str">
        <x:v>Ongoing library candidate.</x:v>
      </x:c>
      <x:c r="S170" s="15" t="str">
        <x:v>A / Strong verified</x:v>
      </x:c>
      <x:c r="T170" s="18" t="n">
        <x:v>88</x:v>
      </x:c>
      <x:c r="U170" s="15" t="str">
        <x:v>A_Core</x:v>
      </x:c>
      <x:c r="V170" s="15" t="str">
        <x:v>KEEP</x:v>
      </x:c>
      <x:c r="W170" s="15" t="str"/>
      <x:c r="X170" s="15" t="str"/>
      <x:c r="Y17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0" s="15" t="str"/>
    </x:row>
    <x:row r="171">
      <x:c r="A171" s="15" t="str">
        <x:v>L0170</x:v>
      </x:c>
      <x:c r="B171" s="15" t="str">
        <x:v>2026-04</x:v>
      </x:c>
      <x:c r="C171" s="15" t="str">
        <x:v>GoodShort</x:v>
      </x:c>
      <x:c r="D171" s="15" t="str">
        <x:v>Base_XLSX</x:v>
      </x:c>
      <x:c r="E171" s="15" t="n">
        <x:v>4</x:v>
      </x:c>
      <x:c r="F171" s="15" t="str">
        <x:v>Base only</x:v>
      </x:c>
      <x:c r="G171" s="15" t="str">
        <x:v>Ordinary Life and Poor Husband</x:v>
      </x:c>
      <x:c r="H171" s="15" t="str">
        <x:v>Ordinary Life and Poor Husband</x:v>
      </x:c>
      <x:c r="I171" s="15" t="str">
        <x:v>Live-action; AIGC not flagged</x:v>
      </x:c>
      <x:c r="J171" s="15" t="str">
        <x:v>Not flagged</x:v>
      </x:c>
      <x:c r="K171" s="15" t="str">
        <x:v>Female / Family-romance</x:v>
      </x:c>
      <x:c r="L171" s="15" t="str">
        <x:v>Hidden CEO / Fake Poor / Contract Marriage</x:v>
      </x:c>
      <x:c r="M171" s="15" t="str">
        <x:v>Hidden-identity reveal + High-status partner/authority + Child/family reunion</x:v>
      </x:c>
      <x:c r="N171" s="15" t="str">
        <x:v>정체/권력 공개 직전까지 결핍·오해를 누적</x:v>
      </x:c>
      <x:c r="O171" s="15" t="str">
        <x:v>Medium-High: 압도적 외모·의상·공간 미감으로 실사형 보상 강화</x:v>
      </x:c>
      <x:c r="P171" s="15" t="str">
        <x:v>fake poor CEO husband identity bomb가 결혼/가족 희극으로 작동.</x:v>
      </x:c>
      <x:c r="Q171" s="15" t="str">
        <x:v>GoodShort resource details Episode 1 hook.</x:v>
      </x:c>
      <x:c r="R171" s="15" t="str">
        <x:v>Ongoing library candidate.</x:v>
      </x:c>
      <x:c r="S171" s="15" t="str">
        <x:v>A / Strong verified</x:v>
      </x:c>
      <x:c r="T171" s="18" t="n">
        <x:v>88</x:v>
      </x:c>
      <x:c r="U171" s="15" t="str">
        <x:v>A_Core</x:v>
      </x:c>
      <x:c r="V171" s="15" t="str">
        <x:v>KEEP</x:v>
      </x:c>
      <x:c r="W171" s="15" t="str"/>
      <x:c r="X171" s="15" t="str"/>
      <x:c r="Y171" s="15" t="str">
        <x:v>https://www.goodshort.com/resources/review/ordinary-life-and-poor-husband-spoiler-alert-from-fake-poor-husband-to-real-feelings-how-long-can-his-hidden-ceo-identity-fool-her</x:v>
      </x:c>
      <x:c r="Z171" s="15" t="str"/>
    </x:row>
    <x:row r="172">
      <x:c r="A172" s="15" t="str">
        <x:v>L0171</x:v>
      </x:c>
      <x:c r="B172" s="15" t="str">
        <x:v>2026-04</x:v>
      </x:c>
      <x:c r="C172" s="15" t="str">
        <x:v>GoodShort</x:v>
      </x:c>
      <x:c r="D172" s="15" t="str">
        <x:v>Base_XLSX</x:v>
      </x:c>
      <x:c r="E172" s="15" t="n">
        <x:v>5</x:v>
      </x:c>
      <x:c r="F172" s="15" t="str">
        <x:v>Base only</x:v>
      </x:c>
      <x:c r="G172" s="15" t="str">
        <x:v>Bricklaying for Six Years, My Goddess Proposes to Me</x:v>
      </x:c>
      <x:c r="H172" s="15" t="str">
        <x:v>Bricklaying for Six Years, My Goddess Proposes to Me</x:v>
      </x:c>
      <x:c r="I172" s="15" t="str">
        <x:v>Live-action; AIGC not flagged</x:v>
      </x:c>
      <x:c r="J172" s="15" t="str">
        <x:v>Not flagged</x:v>
      </x:c>
      <x:c r="K172" s="15" t="str">
        <x:v>Family regret / mixed</x:v>
      </x:c>
      <x:c r="L172" s="15" t="str">
        <x:v>Worker Hero / Rich Heiress / Child</x:v>
      </x:c>
      <x:c r="M172" s="15" t="str">
        <x:v>Hidden-identity reveal + Child/family reunion</x:v>
      </x:c>
      <x:c r="N172" s="15" t="str">
        <x:v>정체/권력 공개 직전까지 결핍·오해를 누적</x:v>
      </x:c>
      <x:c r="O172" s="15" t="str">
        <x:v>Medium: 아이/가족 감정은 직관화하되 섬세한 연기는 과신 금지</x:v>
      </x:c>
      <x:c r="P172" s="15" t="str">
        <x:v>하층 노동 남주와 상류 여주/딸 재회로 warmth와 reversal을 결합.</x:v>
      </x:c>
      <x:c r="Q172" s="15" t="str">
        <x:v>GoodShort review says addictive/re-watchable.</x:v>
      </x:c>
      <x:c r="R172" s="15" t="str">
        <x:v>6.4K page views.</x:v>
      </x:c>
      <x:c r="S172" s="15" t="str">
        <x:v>A / Strong verified</x:v>
      </x:c>
      <x:c r="T172" s="18" t="n">
        <x:v>100</x:v>
      </x:c>
      <x:c r="U172" s="15" t="str">
        <x:v>A_Core</x:v>
      </x:c>
      <x:c r="V172" s="15" t="str">
        <x:v>KEEP</x:v>
      </x:c>
      <x:c r="W172" s="15" t="str"/>
      <x:c r="X172" s="15" t="str"/>
      <x:c r="Y172" s="15" t="str">
        <x:v>https://www.goodshort.com/resources/review/bricklaying-for-six-years-my-goddess-proposes-to-me-spoiler-alert-plot-twist-construction-worker-gets-proposed-by-rich-heiress</x:v>
      </x:c>
      <x:c r="Z172" s="15" t="str"/>
    </x:row>
    <x:row r="173">
      <x:c r="A173" s="15" t="str">
        <x:v>L0172</x:v>
      </x:c>
      <x:c r="B173" s="15" t="str">
        <x:v>2026-05</x:v>
      </x:c>
      <x:c r="C173" s="15" t="str">
        <x:v>GoodShort</x:v>
      </x:c>
      <x:c r="D173" s="15" t="str">
        <x:v>Base_XLSX</x:v>
      </x:c>
      <x:c r="E173" s="15" t="n">
        <x:v>1</x:v>
      </x:c>
      <x:c r="F173" s="15" t="str">
        <x:v>Base only</x:v>
      </x:c>
      <x:c r="G173" s="15" t="str">
        <x:v>Titan Era: Ten Divine Beasts Rise with Me</x:v>
      </x:c>
      <x:c r="H173" s="15" t="str">
        <x:v>Titan Era: Ten Divine Beasts Rise with Me</x:v>
      </x:c>
      <x:c r="I173" s="15" t="str">
        <x:v>Fantasy/action; AIGC/animation candidate</x:v>
      </x:c>
      <x:c r="J173" s="15" t="str">
        <x:v>AIGC/Animation candidate</x:v>
      </x:c>
      <x:c r="K173" s="15" t="str">
        <x:v>Male / Power fantasy</x:v>
      </x:c>
      <x:c r="L173" s="15" t="str">
        <x:v>Fantasy-Male / Transmigration / System</x:v>
      </x:c>
      <x:c r="M173" s="15" t="str">
        <x:v>Progression/spectacle</x:v>
      </x:c>
      <x:c r="N173" s="15" t="str">
        <x:v>첫 각성·첫 스킬만 보여주고 상위 보스/진짜 권위는 유료부로 이월</x:v>
      </x:c>
      <x:c r="O173" s="15" t="str">
        <x:v>High: VFX·세계관·시스템 UI·비현실 스케일을 직접 보상화</x:v>
      </x:c>
      <x:c r="P173" s="15" t="str">
        <x:v>전이·시스템·거대 괴수 전투로 AIGC 애니/판타지 각색 레퍼런스 가치가 큼.</x:v>
      </x:c>
      <x:c r="Q173" s="15" t="str">
        <x:v>GoodShort resource + repost ecosystem.</x:v>
      </x:c>
      <x:c r="R173" s="15" t="str">
        <x:v>Top GoodShort AIGC-like fantasy candidate.</x:v>
      </x:c>
      <x:c r="S173" s="15" t="str">
        <x:v>A / Strong verified</x:v>
      </x:c>
      <x:c r="T173" s="18" t="n">
        <x:v>96</x:v>
      </x:c>
      <x:c r="U173" s="15" t="str">
        <x:v>A_Core</x:v>
      </x:c>
      <x:c r="V173" s="15" t="str">
        <x:v>KEEP</x:v>
      </x:c>
      <x:c r="W173" s="15" t="str"/>
      <x:c r="X173" s="15" t="str"/>
      <x:c r="Y173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73" s="15" t="str">
        <x:v>제작 AIGC 직접 표기 확인 필요.</x:v>
      </x:c>
    </x:row>
    <x:row r="174">
      <x:c r="A174" s="15" t="str">
        <x:v>L0173</x:v>
      </x:c>
      <x:c r="B174" s="15" t="str">
        <x:v>2026-05</x:v>
      </x:c>
      <x:c r="C174" s="15" t="str">
        <x:v>GoodShort</x:v>
      </x:c>
      <x:c r="D174" s="15" t="str">
        <x:v>Base_XLSX</x:v>
      </x:c>
      <x:c r="E174" s="15" t="n">
        <x:v>2</x:v>
      </x:c>
      <x:c r="F174" s="15" t="str">
        <x:v>Base only</x:v>
      </x:c>
      <x:c r="G174" s="15" t="str">
        <x:v>Blood and Bones of the Disowned Daughter</x:v>
      </x:c>
      <x:c r="H174" s="15" t="str">
        <x:v>Blood and Bones of the Disowned Daughter</x:v>
      </x:c>
      <x:c r="I174" s="15" t="str">
        <x:v>Live-action; AIGC not flagged</x:v>
      </x:c>
      <x:c r="J174" s="15" t="str">
        <x:v>Not flagged</x:v>
      </x:c>
      <x:c r="K174" s="15" t="str">
        <x:v>Family regret / mixed</x:v>
      </x:c>
      <x:c r="L174" s="15" t="str">
        <x:v>Fake Heiress / Revenge / Disowned Daughter</x:v>
      </x:c>
      <x:c r="M174" s="15" t="str">
        <x:v>Hidden-identity reveal + Revenge/regret payoff + Child/family reunion</x:v>
      </x:c>
      <x:c r="N174" s="15" t="str">
        <x:v>정체/권력 공개 직전까지 결핍·오해를 누적</x:v>
      </x:c>
      <x:c r="O174" s="15" t="str">
        <x:v>Medium: 아이/가족 감정은 직관화하되 섬세한 연기는 과신 금지</x:v>
      </x:c>
      <x:c r="P174" s="15" t="str">
        <x:v>가짜 상속녀에게 자리 빼앗긴 여주가 피와 뼈의 복수로 돌아오는 구조.</x:v>
      </x:c>
      <x:c r="Q174" s="15" t="str">
        <x:v>YouTube 5.3M views; Facebook/Instagram clip activity.</x:v>
      </x:c>
      <x:c r="R174" s="15" t="str">
        <x:v>Top GoodShort female revenge reference.</x:v>
      </x:c>
      <x:c r="S174" s="15" t="str">
        <x:v>A / Strong verified</x:v>
      </x:c>
      <x:c r="T174" s="18" t="n">
        <x:v>96</x:v>
      </x:c>
      <x:c r="U174" s="15" t="str">
        <x:v>A_Core</x:v>
      </x:c>
      <x:c r="V174" s="15" t="str">
        <x:v>KEEP</x:v>
      </x:c>
      <x:c r="W174" s="15" t="str"/>
      <x:c r="X174" s="15" t="str"/>
      <x:c r="Y174" s="15" t="str">
        <x:v>https://www.youtube.com/watch?v=mUytOkm7drA | https://www.goodshort.com/resources/review/blood-and-bones-of-the-disowned-daughter-sweet-ruthless-fate-waits-natalie</x:v>
      </x:c>
      <x:c r="Z174" s="15" t="str"/>
    </x:row>
    <x:row r="175">
      <x:c r="A175" s="15" t="str">
        <x:v>L0174</x:v>
      </x:c>
      <x:c r="B175" s="15" t="str">
        <x:v>2026-05</x:v>
      </x:c>
      <x:c r="C175" s="15" t="str">
        <x:v>GoodShort</x:v>
      </x:c>
      <x:c r="D175" s="15" t="str">
        <x:v>Base_XLSX</x:v>
      </x:c>
      <x:c r="E175" s="15" t="n">
        <x:v>3</x:v>
      </x:c>
      <x:c r="F175" s="15" t="str">
        <x:v>Base only</x:v>
      </x:c>
      <x:c r="G175" s="15" t="str">
        <x:v>He's Too Late for Her Mafia Majesty</x:v>
      </x:c>
      <x:c r="H175" s="15" t="str">
        <x:v>He's Too Late for Her Mafia Majesty</x:v>
      </x:c>
      <x:c r="I175" s="15" t="str">
        <x:v>Live-action; AIGC not flagged</x:v>
      </x:c>
      <x:c r="J175" s="15" t="str">
        <x:v>Not flagged</x:v>
      </x:c>
      <x:c r="K175" s="15" t="str">
        <x:v>Female / Romance</x:v>
      </x:c>
      <x:c r="L175" s="15" t="str">
        <x:v>Mafia Queen / Regret / Hidden Wife</x:v>
      </x:c>
      <x:c r="M175" s="15" t="str">
        <x:v>Hidden-identity reveal + Revenge/regret payoff + High-status partner/authority</x:v>
      </x:c>
      <x:c r="N175" s="15" t="str">
        <x:v>정체/권력 공개 직전까지 결핍·오해를 누적</x:v>
      </x:c>
      <x:c r="O175" s="15" t="str">
        <x:v>Medium-High: 압도적 외모·의상·공간 미감으로 실사형 보상 강화</x:v>
      </x:c>
      <x:c r="P175" s="15" t="str">
        <x:v>마피아 여왕 정체 회수와 후회남 응징.</x:v>
      </x:c>
      <x:c r="Q175" s="15" t="str">
        <x:v>Official page and review active.</x:v>
      </x:c>
      <x:c r="R175" s="15" t="str">
        <x:v>GoodShort mafia female-power reference.</x:v>
      </x:c>
      <x:c r="S175" s="15" t="str">
        <x:v>A / Strong verified</x:v>
      </x:c>
      <x:c r="T175" s="18" t="n">
        <x:v>88</x:v>
      </x:c>
      <x:c r="U175" s="15" t="str">
        <x:v>A_Core</x:v>
      </x:c>
      <x:c r="V175" s="15" t="str">
        <x:v>KEEP</x:v>
      </x:c>
      <x:c r="W175" s="15" t="str"/>
      <x:c r="X175" s="15" t="str"/>
      <x:c r="Y175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5" s="15" t="str"/>
    </x:row>
    <x:row r="176">
      <x:c r="A176" s="15" t="str">
        <x:v>L0175</x:v>
      </x:c>
      <x:c r="B176" s="15" t="str">
        <x:v>2026-05</x:v>
      </x:c>
      <x:c r="C176" s="15" t="str">
        <x:v>GoodShort</x:v>
      </x:c>
      <x:c r="D176" s="15" t="str">
        <x:v>Base_XLSX</x:v>
      </x:c>
      <x:c r="E176" s="15" t="n">
        <x:v>4</x:v>
      </x:c>
      <x:c r="F176" s="15" t="str">
        <x:v>Base only</x:v>
      </x:c>
      <x:c r="G176" s="15" t="str">
        <x:v>Sneak Me in Your Closet, My Prince</x:v>
      </x:c>
      <x:c r="H176" s="15" t="str">
        <x:v>Sneak Me in Your Closet, My Prince</x:v>
      </x:c>
      <x:c r="I176" s="15" t="str">
        <x:v>Live-action; AIGC not flagged</x:v>
      </x:c>
      <x:c r="J176" s="15" t="str">
        <x:v>Not flagged</x:v>
      </x:c>
      <x:c r="K176" s="15" t="str">
        <x:v>Female / Romance</x:v>
      </x:c>
      <x:c r="L176" s="15" t="str">
        <x:v>BL / Mafia / Forbidden Love</x:v>
      </x:c>
      <x:c r="M176" s="15" t="str">
        <x:v>High-status partner/authority</x:v>
      </x:c>
      <x:c r="N176" s="15" t="str">
        <x:v>강한 케미·보호/소유 신호를 주되 감정 확정은 지연</x:v>
      </x:c>
      <x:c r="O176" s="15" t="str">
        <x:v>Medium-High: 압도적 외모·의상·공간 미감으로 실사형 보상 강화</x:v>
      </x:c>
      <x:c r="P176" s="15" t="str">
        <x:v>마피아 BL forbidden romance; closet encounter hook가 강함.</x:v>
      </x:c>
      <x:c r="Q176" s="15" t="str">
        <x:v>12.7K+ page views, related recs.</x:v>
      </x:c>
      <x:c r="R176" s="15" t="str">
        <x:v>GoodShort BL/mafia reference.</x:v>
      </x:c>
      <x:c r="S176" s="15" t="str">
        <x:v>A / Strong verified</x:v>
      </x:c>
      <x:c r="T176" s="18" t="n">
        <x:v>88</x:v>
      </x:c>
      <x:c r="U176" s="15" t="str">
        <x:v>A_Core</x:v>
      </x:c>
      <x:c r="V176" s="15" t="str">
        <x:v>KEEP</x:v>
      </x:c>
      <x:c r="W176" s="15" t="str"/>
      <x:c r="X176" s="15" t="str"/>
      <x:c r="Y176" s="15" t="str">
        <x:v>https://www.goodshort.com/resources/review/sneak-me-in-your-closet-my-prince</x:v>
      </x:c>
      <x:c r="Z176" s="15" t="str"/>
    </x:row>
    <x:row r="177">
      <x:c r="A177" s="15" t="str">
        <x:v>L0176</x:v>
      </x:c>
      <x:c r="B177" s="15" t="str">
        <x:v>2026-05</x:v>
      </x:c>
      <x:c r="C177" s="15" t="str">
        <x:v>GoodShort</x:v>
      </x:c>
      <x:c r="D177" s="15" t="str">
        <x:v>Base_XLSX</x:v>
      </x:c>
      <x:c r="E177" s="15" t="n">
        <x:v>5</x:v>
      </x:c>
      <x:c r="F177" s="15" t="str">
        <x:v>Base only</x:v>
      </x:c>
      <x:c r="G177" s="15" t="str">
        <x:v>Ordinary Life and Poor Husband</x:v>
      </x:c>
      <x:c r="H177" s="15" t="str">
        <x:v>Ordinary Life and Poor Husband</x:v>
      </x:c>
      <x:c r="I177" s="15" t="str">
        <x:v>Live-action; AIGC not flagged</x:v>
      </x:c>
      <x:c r="J177" s="15" t="str">
        <x:v>Not flagged</x:v>
      </x:c>
      <x:c r="K177" s="15" t="str">
        <x:v>Female / Romance</x:v>
      </x:c>
      <x:c r="L177" s="15" t="str">
        <x:v>Hidden CEO / Poor Husband / Contract Marriage</x:v>
      </x:c>
      <x:c r="M177" s="15" t="str">
        <x:v>Hidden-identity reveal + High-status partner/authority</x:v>
      </x:c>
      <x:c r="N177" s="15" t="str">
        <x:v>정체/권력 공개 직전까지 결핍·오해를 누적</x:v>
      </x:c>
      <x:c r="O177" s="15" t="str">
        <x:v>Medium-High: 압도적 외모·의상·공간 미감으로 실사형 보상 강화</x:v>
      </x:c>
      <x:c r="P177" s="15" t="str">
        <x:v>CEO가 가난한 남편인 척하는 hidden identity marriage.</x:v>
      </x:c>
      <x:c r="Q177" s="15" t="str">
        <x:v>GoodShort resource confirms setup.</x:v>
      </x:c>
      <x:c r="R177" s="15" t="str">
        <x:v>GoodShort hidden CEO reference.</x:v>
      </x:c>
      <x:c r="S177" s="15" t="str">
        <x:v>A / Strong verified</x:v>
      </x:c>
      <x:c r="T177" s="18" t="n">
        <x:v>88</x:v>
      </x:c>
      <x:c r="U177" s="15" t="str">
        <x:v>A_Core</x:v>
      </x:c>
      <x:c r="V177" s="15" t="str">
        <x:v>KEEP</x:v>
      </x:c>
      <x:c r="W177" s="15" t="str"/>
      <x:c r="X177" s="15" t="str"/>
      <x:c r="Y177" s="15" t="str">
        <x:v>https://www.goodshort.com/resources/review/ordinary-life-and-poor-husband-spoiler-alert-from-fake-poor-husband-to-real-feelings-how-long-can-his-hidden-ceo-identity-fool-her</x:v>
      </x:c>
      <x:c r="Z177" s="15" t="str"/>
    </x:row>
    <x:row r="178">
      <x:c r="A178" s="15" t="str">
        <x:v>L0177</x:v>
      </x:c>
      <x:c r="B178" s="15" t="str">
        <x:v>2025-06</x:v>
      </x:c>
      <x:c r="C178" s="15" t="str">
        <x:v>DramaWave</x:v>
      </x:c>
      <x:c r="D178" s="15" t="str">
        <x:v>Base_XLSX</x:v>
      </x:c>
      <x:c r="E178" s="15" t="n">
        <x:v>1</x:v>
      </x:c>
      <x:c r="F178" s="15" t="str">
        <x:v>Base only</x:v>
      </x:c>
      <x:c r="G178" s="15" t="str">
        <x:v>Stop Heartbreak, She's the One</x:v>
      </x:c>
      <x:c r="H178" s="15" t="str">
        <x:v>Stop Heartbreak, She's the One</x:v>
      </x:c>
      <x:c r="I178" s="15" t="str">
        <x:v>Live-action; AIGC not flagged</x:v>
      </x:c>
      <x:c r="J178" s="15" t="str">
        <x:v>Not flagged</x:v>
      </x:c>
      <x:c r="K178" s="15" t="str">
        <x:v>Female / Romance</x:v>
      </x:c>
      <x:c r="L178" s="15" t="str">
        <x:v>Second Chance / Stop Heartbreak / Romance</x:v>
      </x:c>
      <x:c r="M178" s="15" t="str">
        <x:v>Revenge/regret payoff</x:v>
      </x:c>
      <x:c r="N178" s="15" t="str">
        <x:v>무료부에서는 결핍과 예고, 유료부에서는 보상/진실/역전</x:v>
      </x:c>
      <x:c r="O178" s="15" t="str">
        <x:v>Medium: 광고 컷·후킹 이미지 보강용</x:v>
      </x:c>
      <x:c r="P178" s="15" t="str">
        <x:v>이별/후회 후 진짜 사랑을 찾는 romance/second-chance 계열.</x:v>
      </x:c>
      <x:c r="Q178" s="15" t="str">
        <x:v>YouTube playlist with 2025 DramaWave title signal.</x:v>
      </x:c>
      <x:c r="R178" s="15" t="str">
        <x:v>Public playlist signal.</x:v>
      </x:c>
      <x:c r="S178" s="15" t="str">
        <x:v>D / Needs verification</x:v>
      </x:c>
      <x:c r="T178" s="18" t="n">
        <x:v>52</x:v>
      </x:c>
      <x:c r="U178" s="15" t="str">
        <x:v>D_Verify</x:v>
      </x:c>
      <x:c r="V178" s="15" t="str">
        <x:v>POSSIBLE_REPLACE_BY_SUPPLEMENT</x:v>
      </x:c>
      <x:c r="W178" s="15" t="str">
        <x:v>Found You Again, My Healing Angel</x:v>
      </x:c>
      <x:c r="X178" s="15" t="str">
        <x:v>동월·동플랫폼 보강자료 후보가 있고, 현행 행의 confidence가 Low라 교체 후보.</x:v>
      </x:c>
      <x:c r="Y178" s="15" t="str">
        <x:v>https://m.youtube.com/playlist?list=PLy83vl2yZ2mX5PejguK3RmYnwLWozwlDw</x:v>
      </x:c>
      <x:c r="Z178" s="15" t="str">
        <x:v>공식 성과/광고 집행량 재확인.</x:v>
      </x:c>
    </x:row>
    <x:row r="179">
      <x:c r="A179" s="15" t="str">
        <x:v>L0178</x:v>
      </x:c>
      <x:c r="B179" s="15" t="str">
        <x:v>2025-06</x:v>
      </x:c>
      <x:c r="C179" s="15" t="str">
        <x:v>DramaWave</x:v>
      </x:c>
      <x:c r="D179" s="15" t="str">
        <x:v>Base_XLSX</x:v>
      </x:c>
      <x:c r="E179" s="15" t="n">
        <x:v>2</x:v>
      </x:c>
      <x:c r="F179" s="15" t="str">
        <x:v>Base only</x:v>
      </x:c>
      <x:c r="G179" s="15" t="str">
        <x:v>Love at Fifty</x:v>
      </x:c>
      <x:c r="H179" s="15" t="str">
        <x:v>Love at Fifty</x:v>
      </x:c>
      <x:c r="I179" s="15" t="str">
        <x:v>Live-action/dubbed; AIGC not flagged</x:v>
      </x:c>
      <x:c r="J179" s="15" t="str">
        <x:v>Not flagged</x:v>
      </x:c>
      <x:c r="K179" s="15" t="str">
        <x:v>Female / Romance</x:v>
      </x:c>
      <x:c r="L179" s="15" t="str">
        <x:v>Mature Romance / Divorce / Second Life</x:v>
      </x:c>
      <x:c r="M179" s="15" t="str">
        <x:v>Core melodrama hook</x:v>
      </x:c>
      <x:c r="N179" s="15" t="str">
        <x:v>무료부에서는 결핍과 예고, 유료부에서는 보상/진실/역전</x:v>
      </x:c>
      <x:c r="O179" s="15" t="str">
        <x:v>Medium: 광고 컷·후킹 이미지 보강용</x:v>
      </x:c>
      <x:c r="P179" s="15" t="str">
        <x:v>50대 사랑/이혼 후 인생 재정렬을 다룬 중년 로맨스.</x:v>
      </x:c>
      <x:c r="Q179" s="15" t="str">
        <x:v>YouTube playlist with DramaWave/FlickReels overlap signal.</x:v>
      </x:c>
      <x:c r="R179" s="15" t="str">
        <x:v>Public playlist signal.</x:v>
      </x:c>
      <x:c r="S179" s="15" t="str">
        <x:v>D / Needs verification</x:v>
      </x:c>
      <x:c r="T179" s="18" t="n">
        <x:v>52</x:v>
      </x:c>
      <x:c r="U179" s="15" t="str">
        <x:v>D_Verify</x:v>
      </x:c>
      <x:c r="V179" s="15" t="str">
        <x:v>POSSIBLE_REPLACE_BY_SUPPLEMENT</x:v>
      </x:c>
      <x:c r="W179" s="15" t="str">
        <x:v>Found You Again, My Healing Angel</x:v>
      </x:c>
      <x:c r="X179" s="15" t="str">
        <x:v>동월·동플랫폼 보강자료 후보가 있고, 현행 행의 confidence가 Low라 교체 후보.</x:v>
      </x:c>
      <x:c r="Y179" s="15" t="str">
        <x:v>https://www.youtube.com/playlist?list=PLXL2YEPKBPRPt0w8w2pdG5O2aOYpkNo9H</x:v>
      </x:c>
      <x:c r="Z179" s="15" t="str">
        <x:v>공식 성과/광고 집행량 재확인.</x:v>
      </x:c>
    </x:row>
    <x:row r="180">
      <x:c r="A180" s="15" t="str">
        <x:v>L0179</x:v>
      </x:c>
      <x:c r="B180" s="15" t="str">
        <x:v>2025-06</x:v>
      </x:c>
      <x:c r="C180" s="15" t="str">
        <x:v>DramaWave</x:v>
      </x:c>
      <x:c r="D180" s="15" t="str">
        <x:v>Base_XLSX</x:v>
      </x:c>
      <x:c r="E180" s="15" t="n">
        <x:v>3</x:v>
      </x:c>
      <x:c r="F180" s="15" t="str">
        <x:v>Base only</x:v>
      </x:c>
      <x:c r="G180" s="15" t="str">
        <x:v>Born with Magic</x:v>
      </x:c>
      <x:c r="H180" s="15" t="str">
        <x:v>Born with Magic</x:v>
      </x:c>
      <x:c r="I180" s="15" t="str">
        <x:v>AIGC/animation candidate; official flag not found</x:v>
      </x:c>
      <x:c r="J180" s="15" t="str">
        <x:v>AIGC/Animation candidate</x:v>
      </x:c>
      <x:c r="K180" s="15" t="str">
        <x:v>Female / Romance</x:v>
      </x:c>
      <x:c r="L180" s="15" t="str">
        <x:v>Fantasy / Magic / Reborn Bride adjacency</x:v>
      </x:c>
      <x:c r="M180" s="15" t="str">
        <x:v>Progression/spectacle</x:v>
      </x:c>
      <x:c r="N180" s="15" t="str">
        <x:v>무료부에서는 결핍과 예고, 유료부에서는 보상/진실/역전</x:v>
      </x:c>
      <x:c r="O180" s="15" t="str">
        <x:v>High: VFX·세계관·시스템 UI·비현실 스케일을 직접 보상화</x:v>
      </x:c>
      <x:c r="P180" s="15" t="str">
        <x:v>태어날 때부터 마법을 가진 인물이 로맨스/판타지 갈등에 들어감.</x:v>
      </x:c>
      <x:c r="Q180" s="15" t="str">
        <x:v>YouTube playlist search signal.</x:v>
      </x:c>
      <x:c r="R180" s="15" t="str">
        <x:v>Public playlist signal.</x:v>
      </x:c>
      <x:c r="S180" s="15" t="str">
        <x:v>D / Needs verification</x:v>
      </x:c>
      <x:c r="T180" s="18" t="n">
        <x:v>52</x:v>
      </x:c>
      <x:c r="U180" s="15" t="str">
        <x:v>D_Verify</x:v>
      </x:c>
      <x:c r="V180" s="15" t="str">
        <x:v>POSSIBLE_REPLACE_BY_SUPPLEMENT</x:v>
      </x:c>
      <x:c r="W180" s="15" t="str">
        <x:v>Found You Again, My Healing Angel</x:v>
      </x:c>
      <x:c r="X180" s="15" t="str">
        <x:v>동월·동플랫폼 보강자료 후보가 있고, 현행 행의 confidence가 Low라 교체 후보.</x:v>
      </x:c>
      <x:c r="Y180" s="15" t="str">
        <x:v>https://www.youtube.com/playlist?list=PLXljp-Au7yot8Ibv1T9xE5RQxGRqKqAXm</x:v>
      </x:c>
      <x:c r="Z180" s="15" t="str">
        <x:v>제작 AIGC 직접 표기 확인 필요.</x:v>
      </x:c>
    </x:row>
    <x:row r="181">
      <x:c r="A181" s="15" t="str">
        <x:v>L0180</x:v>
      </x:c>
      <x:c r="B181" s="15" t="str">
        <x:v>2025-07</x:v>
      </x:c>
      <x:c r="C181" s="15" t="str">
        <x:v>DramaWave</x:v>
      </x:c>
      <x:c r="D181" s="15" t="str">
        <x:v>Base_XLSX</x:v>
      </x:c>
      <x:c r="E181" s="15" t="n">
        <x:v>1</x:v>
      </x:c>
      <x:c r="F181" s="15" t="str">
        <x:v>Base only</x:v>
      </x:c>
      <x:c r="G181" s="15" t="str">
        <x:v>The Princess Returns</x:v>
      </x:c>
      <x:c r="H181" s="15" t="str">
        <x:v>The Princess Returns</x:v>
      </x:c>
      <x:c r="I181" s="15" t="str">
        <x:v>Live-action; AIGC not flagged</x:v>
      </x:c>
      <x:c r="J181" s="15" t="str">
        <x:v>Not flagged</x:v>
      </x:c>
      <x:c r="K181" s="15" t="str">
        <x:v>Female / Romance</x:v>
      </x:c>
      <x:c r="L181" s="15" t="str">
        <x:v>Princess Returns / Heiress / Revenge Romance</x:v>
      </x:c>
      <x:c r="M181" s="15" t="str">
        <x:v>Hidden-identity reveal + Revenge/regret payoff</x:v>
      </x:c>
      <x:c r="N181" s="15" t="str">
        <x:v>정체/권력 공개 직전까지 결핍·오해를 누적</x:v>
      </x:c>
      <x:c r="O181" s="15" t="str">
        <x:v>Medium: 광고 컷·후킹 이미지 보강용</x:v>
      </x:c>
      <x:c r="P181" s="15" t="str">
        <x:v>돌아온 공주/상속녀가 신분과 권력을 회수하는 로맨스 드라마.</x:v>
      </x:c>
      <x:c r="Q181" s="15" t="str">
        <x:v>Instagram post says NEW Jul 2025, 64 eps, ranked #1 on DramaWave.</x:v>
      </x:c>
      <x:c r="R181" s="15" t="str">
        <x:v>IG ranking claim; needs verification.</x:v>
      </x:c>
      <x:c r="S181" s="15" t="str">
        <x:v>C / Watch</x:v>
      </x:c>
      <x:c r="T181" s="18" t="n">
        <x:v>67</x:v>
      </x:c>
      <x:c r="U181" s="15" t="str">
        <x:v>C_Watch</x:v>
      </x:c>
      <x:c r="V181" s="15" t="str">
        <x:v>KEEP</x:v>
      </x:c>
      <x:c r="W181" s="15" t="str"/>
      <x:c r="X181" s="15" t="str"/>
      <x:c r="Y181" s="15" t="str">
        <x:v>https://www.instagram.com/p/DM3gGS1M9fh/</x:v>
      </x:c>
      <x:c r="Z181" s="15" t="str">
        <x:v>공식 성과/광고 집행량 재확인.</x:v>
      </x:c>
    </x:row>
    <x:row r="182">
      <x:c r="A182" s="15" t="str">
        <x:v>L0181</x:v>
      </x:c>
      <x:c r="B182" s="15" t="str">
        <x:v>2025-07</x:v>
      </x:c>
      <x:c r="C182" s="15" t="str">
        <x:v>DramaWave</x:v>
      </x:c>
      <x:c r="D182" s="15" t="str">
        <x:v>Base_XLSX</x:v>
      </x:c>
      <x:c r="E182" s="15" t="n">
        <x:v>2</x:v>
      </x:c>
      <x:c r="F182" s="15" t="str">
        <x:v>Base only</x:v>
      </x:c>
      <x:c r="G182" s="15" t="str">
        <x:v>My Super-Vision Husband</x:v>
      </x:c>
      <x:c r="H182" s="15" t="str">
        <x:v>My Super-Vision Husband</x:v>
      </x:c>
      <x:c r="I182" s="15" t="str">
        <x:v>AIGC/visual candidate; official flag not found</x:v>
      </x:c>
      <x:c r="J182" s="15" t="str">
        <x:v>Not flagged</x:v>
      </x:c>
      <x:c r="K182" s="15" t="str">
        <x:v>Female / Romance</x:v>
      </x:c>
      <x:c r="L182" s="15" t="str">
        <x:v>Super Vision / Hidden Power / Husband</x:v>
      </x:c>
      <x:c r="M182" s="15" t="str">
        <x:v>Hidden-identity reveal</x:v>
      </x:c>
      <x:c r="N182" s="15" t="str">
        <x:v>정체/권력 공개 직전까지 결핍·오해를 누적</x:v>
      </x:c>
      <x:c r="O182" s="15" t="str">
        <x:v>Medium: 광고 컷·후킹 이미지 보강용</x:v>
      </x:c>
      <x:c r="P182" s="15" t="str">
        <x:v>초시각/특수능력을 가진 남편이 정체를 숨긴 채 갈등을 해결.</x:v>
      </x:c>
      <x:c r="Q182" s="15" t="str">
        <x:v>Facebook DramaWave short clip signal.</x:v>
      </x:c>
      <x:c r="R182" s="15" t="str">
        <x:v>Public Facebook clip signal.</x:v>
      </x:c>
      <x:c r="S182" s="15" t="str">
        <x:v>D / Needs verification</x:v>
      </x:c>
      <x:c r="T182" s="18" t="n">
        <x:v>50</x:v>
      </x:c>
      <x:c r="U182" s="15" t="str">
        <x:v>D_Verify</x:v>
      </x:c>
      <x:c r="V182" s="15" t="str">
        <x:v>POSSIBLE_REPLACE_BY_SUPPLEMENT</x:v>
      </x:c>
      <x:c r="W182" s="15" t="str">
        <x:v>Heartbreak to CEO’s Bride</x:v>
      </x:c>
      <x:c r="X182" s="15" t="str">
        <x:v>동월·동플랫폼 보강자료 후보가 있고, 현행 행의 confidence가 Low라 교체 후보.</x:v>
      </x:c>
      <x:c r="Y182" s="15" t="str">
        <x:v>https://www.facebook.com/61576333226158/videos/download-dramawave-tv-to-watch-more-series/2038055583592546/</x:v>
      </x:c>
      <x:c r="Z182" s="15" t="str">
        <x:v>공식 성과/광고 집행량 재확인.</x:v>
      </x:c>
    </x:row>
    <x:row r="183">
      <x:c r="A183" s="15" t="str">
        <x:v>L0182</x:v>
      </x:c>
      <x:c r="B183" s="15" t="str">
        <x:v>2025-07</x:v>
      </x:c>
      <x:c r="C183" s="15" t="str">
        <x:v>DramaWave</x:v>
      </x:c>
      <x:c r="D183" s="15" t="str">
        <x:v>Base_XLSX</x:v>
      </x:c>
      <x:c r="E183" s="15" t="n">
        <x:v>3</x:v>
      </x:c>
      <x:c r="F183" s="15" t="str">
        <x:v>Base only</x:v>
      </x:c>
      <x:c r="G183" s="15" t="str">
        <x:v>Pucked by My Hockey Rival</x:v>
      </x:c>
      <x:c r="H183" s="15" t="str">
        <x:v>Pucked by My Hockey Rival</x:v>
      </x:c>
      <x:c r="I183" s="15" t="str">
        <x:v>Live-action; AIGC not flagged</x:v>
      </x:c>
      <x:c r="J183" s="15" t="str">
        <x:v>Not flagged</x:v>
      </x:c>
      <x:c r="K183" s="15" t="str">
        <x:v>Female / Romance</x:v>
      </x:c>
      <x:c r="L183" s="15" t="str">
        <x:v>Hockey / BL / Rivals-to-Lovers</x:v>
      </x:c>
      <x:c r="M183" s="15" t="str">
        <x:v>Campus/sports heat</x:v>
      </x:c>
      <x:c r="N183" s="15" t="str">
        <x:v>강한 케미·보호/소유 신호를 주되 감정 확정은 지연</x:v>
      </x:c>
      <x:c r="O183" s="15" t="str">
        <x:v>Medium-High: 압도적 외모·의상·공간 미감으로 실사형 보상 강화</x:v>
      </x:c>
      <x:c r="P183" s="15" t="str">
        <x:v>하키 라이벌이자 캡틴과 엉킨 BL/sports romance.</x:v>
      </x:c>
      <x:c r="Q183" s="15" t="str">
        <x:v>Facebook Dramawave post and 2026 Melolo guide signal.</x:v>
      </x:c>
      <x:c r="R183" s="15" t="str">
        <x:v>Social + guide signal.</x:v>
      </x:c>
      <x:c r="S183" s="15" t="str">
        <x:v>C / Watch</x:v>
      </x:c>
      <x:c r="T183" s="18" t="n">
        <x:v>67</x:v>
      </x:c>
      <x:c r="U183" s="15" t="str">
        <x:v>C_Watch</x:v>
      </x:c>
      <x:c r="V183" s="15" t="str">
        <x:v>KEEP</x:v>
      </x:c>
      <x:c r="W183" s="15" t="str"/>
      <x:c r="X183" s="15" t="str"/>
      <x:c r="Y183" s="15" t="str">
        <x:v>https://www.facebook.com/61576333226158/videos/pucked-by-my-hockey-rival/1275966807648031/ | https://melolo.com/guides/pucked-by-my-hockey-rival</x:v>
      </x:c>
      <x:c r="Z183" s="15" t="str">
        <x:v>공식 성과/광고 집행량 재확인.</x:v>
      </x:c>
    </x:row>
    <x:row r="184">
      <x:c r="A184" s="15" t="str">
        <x:v>L0183</x:v>
      </x:c>
      <x:c r="B184" s="15" t="str">
        <x:v>2025-08</x:v>
      </x:c>
      <x:c r="C184" s="15" t="str">
        <x:v>DramaWave</x:v>
      </x:c>
      <x:c r="D184" s="15" t="str">
        <x:v>Base_XLSX</x:v>
      </x:c>
      <x:c r="E184" s="15" t="n">
        <x:v>1</x:v>
      </x:c>
      <x:c r="F184" s="15" t="str">
        <x:v>Base only</x:v>
      </x:c>
      <x:c r="G184" s="15" t="str">
        <x:v>DramaWave app collection expansion</x:v>
      </x:c>
      <x:c r="H184" s="15" t="str">
        <x:v>DramaWave app collection expansion</x:v>
      </x:c>
      <x:c r="I184" s="15" t="str">
        <x:v>Platform signal</x:v>
      </x:c>
      <x:c r="J184" s="15" t="str">
        <x:v>Not flagged</x:v>
      </x:c>
      <x:c r="K184" s="15" t="str">
        <x:v>Mixed / General</x:v>
      </x:c>
      <x:c r="L184" s="15" t="str">
        <x:v>Platform / App Growth</x:v>
      </x:c>
      <x:c r="M184" s="15" t="str">
        <x:v>Revenge/regret payoff + Progression/spectacle</x:v>
      </x:c>
      <x:c r="N184" s="15" t="str">
        <x:v>첫 각성·첫 스킬만 보여주고 상위 보스/진짜 권위는 유료부로 이월</x:v>
      </x:c>
      <x:c r="O184" s="15" t="str">
        <x:v>Medium: 광고 컷·후킹 이미지 보강용</x:v>
      </x:c>
      <x:c r="P184" s="15" t="str">
        <x:v>2025년 8월 개별작보다 app-level collection expansion 확인.</x:v>
      </x:c>
      <x:c r="Q184" s="15" t="str">
        <x:v>Apptopia update history shows new collections around Jul 30/Aug 2025.</x:v>
      </x:c>
      <x:c r="R184" s="15" t="str">
        <x:v>App update signal.</x:v>
      </x:c>
      <x:c r="S184" s="15" t="str">
        <x:v>D / Needs verification</x:v>
      </x:c>
      <x:c r="T184" s="18" t="n">
        <x:v>46</x:v>
      </x:c>
      <x:c r="U184" s="15" t="str">
        <x:v>D_Verify</x:v>
      </x:c>
      <x:c r="V184" s="15" t="str">
        <x:v>POSSIBLE_REPLACE_BY_SUPPLEMENT</x:v>
      </x:c>
      <x:c r="W184" s="15" t="str">
        <x:v>Grandma Destroyed Her Heir</x:v>
      </x:c>
      <x:c r="X184" s="15" t="str">
        <x:v>동월·동플랫폼 보강자료 후보가 있고, 현행 행의 confidence가 Low라 교체 후보.</x:v>
      </x:c>
      <x:c r="Y184" s="15" t="str">
        <x:v>https://apptopia.com/ios/app/6670430706/about</x:v>
      </x:c>
      <x:c r="Z184" s="15" t="str">
        <x:v>공식 성과/광고 집행량 재확인.</x:v>
      </x:c>
    </x:row>
    <x:row r="185">
      <x:c r="A185" s="15" t="str">
        <x:v>L0184</x:v>
      </x:c>
      <x:c r="B185" s="15" t="str">
        <x:v>2025-08</x:v>
      </x:c>
      <x:c r="C185" s="15" t="str">
        <x:v>DramaWave</x:v>
      </x:c>
      <x:c r="D185" s="15" t="str">
        <x:v>Base_XLSX</x:v>
      </x:c>
      <x:c r="E185" s="15" t="n">
        <x:v>2</x:v>
      </x:c>
      <x:c r="F185" s="15" t="str">
        <x:v>Base only</x:v>
      </x:c>
      <x:c r="G185" s="15" t="str">
        <x:v>DramaWave YouTube/Reels catalog build</x:v>
      </x:c>
      <x:c r="H185" s="15" t="str">
        <x:v>DramaWave YouTube/Reels catalog build</x:v>
      </x:c>
      <x:c r="I185" s="15" t="str">
        <x:v>Platform signal</x:v>
      </x:c>
      <x:c r="J185" s="15" t="str">
        <x:v>Not flagged</x:v>
      </x:c>
      <x:c r="K185" s="15" t="str">
        <x:v>Mixed / General</x:v>
      </x:c>
      <x:c r="L185" s="15" t="str">
        <x:v>Platform Catalog</x:v>
      </x:c>
      <x:c r="M185" s="15" t="str">
        <x:v>Core melodrama hook</x:v>
      </x:c>
      <x:c r="N185" s="15" t="str">
        <x:v>무료부에서는 결핍과 예고, 유료부에서는 보상/진실/역전</x:v>
      </x:c>
      <x:c r="O185" s="15" t="str">
        <x:v>Medium: 광고 컷·후킹 이미지 보강용</x:v>
      </x:c>
      <x:c r="P185" s="15" t="str">
        <x:v>공식 YouTube/shorts 계정 중심으로 드라마 카탈로그 확장.</x:v>
      </x:c>
      <x:c r="Q185" s="15" t="str">
        <x:v>DramaWave channel has large subscriber base via music.youtube page.</x:v>
      </x:c>
      <x:c r="R185" s="15" t="str">
        <x:v>5.31M subscriber signal on Music YouTube page.</x:v>
      </x:c>
      <x:c r="S185" s="15" t="str">
        <x:v>B / Useful verified</x:v>
      </x:c>
      <x:c r="T185" s="18" t="n">
        <x:v>81</x:v>
      </x:c>
      <x:c r="U185" s="15" t="str">
        <x:v>B_Strong</x:v>
      </x:c>
      <x:c r="V185" s="15" t="str">
        <x:v>KEEP</x:v>
      </x:c>
      <x:c r="W185" s="15" t="str"/>
      <x:c r="X185" s="15" t="str"/>
      <x:c r="Y185" s="15" t="str">
        <x:v>https://music.youtube.com/channel/UCJvJ4D-ES4Ca51aUCvtZVuw</x:v>
      </x:c>
      <x:c r="Z185" s="15" t="str"/>
    </x:row>
    <x:row r="186">
      <x:c r="A186" s="15" t="str">
        <x:v>L0185</x:v>
      </x:c>
      <x:c r="B186" s="15" t="str">
        <x:v>2025-08</x:v>
      </x:c>
      <x:c r="C186" s="15" t="str">
        <x:v>DramaWave</x:v>
      </x:c>
      <x:c r="D186" s="15" t="str">
        <x:v>Base_XLSX</x:v>
      </x:c>
      <x:c r="E186" s="15" t="n">
        <x:v>3</x:v>
      </x:c>
      <x:c r="F186" s="15" t="str">
        <x:v>Base only</x:v>
      </x:c>
      <x:c r="G186" s="15" t="str">
        <x:v>Love at Fifty / Divorce Dreams cluster</x:v>
      </x:c>
      <x:c r="H186" s="15" t="str">
        <x:v>Love at Fifty / Divorce Dreams cluster</x:v>
      </x:c>
      <x:c r="I186" s="15" t="str">
        <x:v>Live-action; AIGC not flagged</x:v>
      </x:c>
      <x:c r="J186" s="15" t="str">
        <x:v>Not flagged</x:v>
      </x:c>
      <x:c r="K186" s="15" t="str">
        <x:v>Female / Romance</x:v>
      </x:c>
      <x:c r="L186" s="15" t="str">
        <x:v>Mature Romance / Divorce Dreams</x:v>
      </x:c>
      <x:c r="M186" s="15" t="str">
        <x:v>Revenge/regret payoff</x:v>
      </x:c>
      <x:c r="N186" s="15" t="str">
        <x:v>무료부에서는 결핍과 예고, 유료부에서는 보상/진실/역전</x:v>
      </x:c>
      <x:c r="O186" s="15" t="str">
        <x:v>Medium: 광고 컷·후킹 이미지 보강용</x:v>
      </x:c>
      <x:c r="P186" s="15" t="str">
        <x:v>중년 이혼/후회/재시작 계열 카탈로그.</x:v>
      </x:c>
      <x:c r="Q186" s="15" t="str">
        <x:v>YouTube playlists with DramaWave titles.</x:v>
      </x:c>
      <x:c r="R186" s="15" t="str">
        <x:v>Playlist signal.</x:v>
      </x:c>
      <x:c r="S186" s="15" t="str">
        <x:v>D / Needs verification</x:v>
      </x:c>
      <x:c r="T186" s="18" t="n">
        <x:v>52</x:v>
      </x:c>
      <x:c r="U186" s="15" t="str">
        <x:v>D_Verify</x:v>
      </x:c>
      <x:c r="V186" s="15" t="str">
        <x:v>POSSIBLE_REPLACE_BY_SUPPLEMENT</x:v>
      </x:c>
      <x:c r="W186" s="15" t="str">
        <x:v>Grandma Destroyed Her Heir</x:v>
      </x:c>
      <x:c r="X186" s="15" t="str">
        <x:v>동월·동플랫폼 보강자료 후보가 있고, 현행 행의 confidence가 Low라 교체 후보.</x:v>
      </x:c>
      <x:c r="Y186" s="15" t="str">
        <x:v>https://www.youtube.com/playlist?list=PLXL2YEPKBPRPt0w8w2pdG5O2aOYpkNo9H</x:v>
      </x:c>
      <x:c r="Z186" s="15" t="str">
        <x:v>공식 성과/광고 집행량 재확인.</x:v>
      </x:c>
    </x:row>
    <x:row r="187">
      <x:c r="A187" s="15" t="str">
        <x:v>L0186</x:v>
      </x:c>
      <x:c r="B187" s="15" t="str">
        <x:v>2025-09</x:v>
      </x:c>
      <x:c r="C187" s="15" t="str">
        <x:v>DramaWave</x:v>
      </x:c>
      <x:c r="D187" s="15" t="str">
        <x:v>Base_XLSX</x:v>
      </x:c>
      <x:c r="E187" s="15" t="n">
        <x:v>1</x:v>
      </x:c>
      <x:c r="F187" s="15" t="str">
        <x:v>Base only</x:v>
      </x:c>
      <x:c r="G187" s="15" t="str">
        <x:v>DramaWave AI content push begins</x:v>
      </x:c>
      <x:c r="H187" s="15" t="str">
        <x:v>DramaWave AI content push begins</x:v>
      </x:c>
      <x:c r="I187" s="15" t="str">
        <x:v>AIGC platform signal</x:v>
      </x:c>
      <x:c r="J187" s="15" t="str">
        <x:v>Not flagged</x:v>
      </x:c>
      <x:c r="K187" s="15" t="str">
        <x:v>Mixed / General</x:v>
      </x:c>
      <x:c r="L187" s="15" t="str">
        <x:v>AI Microdrama / Platform Strategy</x:v>
      </x:c>
      <x:c r="M187" s="15" t="str">
        <x:v>Core melodrama hook</x:v>
      </x:c>
      <x:c r="N187" s="15" t="str">
        <x:v>무료부에서는 결핍과 예고, 유료부에서는 보상/진실/역전</x:v>
      </x:c>
      <x:c r="O187" s="15" t="str">
        <x:v>Medium: 광고 컷·후킹 이미지 보강용</x:v>
      </x:c>
      <x:c r="P187" s="15" t="str">
        <x:v>개별 제목보다 AI micro-drama 진입 신호가 강함.</x:v>
      </x:c>
      <x:c r="Q187" s="15" t="str">
        <x:v>Melolo article says leading platforms DramaWave and FlareFlow launched AI micro-drama content.</x:v>
      </x:c>
      <x:c r="R187" s="15" t="str">
        <x:v>Industry signal.</x:v>
      </x:c>
      <x:c r="S187" s="15" t="str">
        <x:v>C / Watch</x:v>
      </x:c>
      <x:c r="T187" s="18" t="n">
        <x:v>63</x:v>
      </x:c>
      <x:c r="U187" s="15" t="str">
        <x:v>C_Watch</x:v>
      </x:c>
      <x:c r="V187" s="15" t="str">
        <x:v>KEEP</x:v>
      </x:c>
      <x:c r="W187" s="15" t="str"/>
      <x:c r="X187" s="15" t="str"/>
      <x:c r="Y187" s="15" t="str">
        <x:v>https://melolo.com/guides/ai-micro-dramas-global-expansion-melolo-southeast-asia</x:v>
      </x:c>
      <x:c r="Z187" s="15" t="str">
        <x:v>공식 성과/광고 집행량 재확인.</x:v>
      </x:c>
    </x:row>
    <x:row r="188">
      <x:c r="A188" s="15" t="str">
        <x:v>L0187</x:v>
      </x:c>
      <x:c r="B188" s="15" t="str">
        <x:v>2025-09</x:v>
      </x:c>
      <x:c r="C188" s="15" t="str">
        <x:v>DramaWave</x:v>
      </x:c>
      <x:c r="D188" s="15" t="str">
        <x:v>Base_XLSX</x:v>
      </x:c>
      <x:c r="E188" s="15" t="n">
        <x:v>2</x:v>
      </x:c>
      <x:c r="F188" s="15" t="str">
        <x:v>Base only</x:v>
      </x:c>
      <x:c r="G188" s="15" t="str">
        <x:v>Stop Heartbreak, She's the One</x:v>
      </x:c>
      <x:c r="H188" s="15" t="str">
        <x:v>Stop Heartbreak, She's the One</x:v>
      </x:c>
      <x:c r="I188" s="15" t="str">
        <x:v>Live-action; AIGC not flagged</x:v>
      </x:c>
      <x:c r="J188" s="15" t="str">
        <x:v>Not flagged</x:v>
      </x:c>
      <x:c r="K188" s="15" t="str">
        <x:v>Female / Romance</x:v>
      </x:c>
      <x:c r="L188" s="15" t="str">
        <x:v>Second Chance / Regret</x:v>
      </x:c>
      <x:c r="M188" s="15" t="str">
        <x:v>Revenge/regret payoff</x:v>
      </x:c>
      <x:c r="N188" s="15" t="str">
        <x:v>굴욕/배신 후 첫 반격을 예고하고 본격 응징은 지연</x:v>
      </x:c>
      <x:c r="O188" s="15" t="str">
        <x:v>Medium: 광고 컷·후킹 이미지 보강용</x:v>
      </x:c>
      <x:c r="P188" s="15" t="str">
        <x:v>진짜 사랑을 놓친 뒤 후회를 유발하는 romance hook.</x:v>
      </x:c>
      <x:c r="Q188" s="15" t="str">
        <x:v>YouTube playlist signal.</x:v>
      </x:c>
      <x:c r="R188" s="15" t="str">
        <x:v>Playlist signal.</x:v>
      </x:c>
      <x:c r="S188" s="15" t="str">
        <x:v>D / Needs verification</x:v>
      </x:c>
      <x:c r="T188" s="18" t="n">
        <x:v>52</x:v>
      </x:c>
      <x:c r="U188" s="15" t="str">
        <x:v>D_Verify</x:v>
      </x:c>
      <x:c r="V188" s="15" t="str">
        <x:v>POSSIBLE_REPLACE_BY_SUPPLEMENT</x:v>
      </x:c>
      <x:c r="W188" s="15" t="str">
        <x:v>The Mighty Lady Fixes the Manor</x:v>
      </x:c>
      <x:c r="X188" s="15" t="str">
        <x:v>동월·동플랫폼 보강자료 후보가 있고, 현행 행의 confidence가 Low라 교체 후보.</x:v>
      </x:c>
      <x:c r="Y188" s="15" t="str">
        <x:v>https://m.youtube.com/playlist?list=PLy83vl2yZ2mX5PejguK3RmYnwLWozwlDw</x:v>
      </x:c>
      <x:c r="Z188" s="15" t="str">
        <x:v>공식 성과/광고 집행량 재확인.</x:v>
      </x:c>
    </x:row>
    <x:row r="189">
      <x:c r="A189" s="15" t="str">
        <x:v>L0188</x:v>
      </x:c>
      <x:c r="B189" s="15" t="str">
        <x:v>2025-09</x:v>
      </x:c>
      <x:c r="C189" s="15" t="str">
        <x:v>DramaWave</x:v>
      </x:c>
      <x:c r="D189" s="15" t="str">
        <x:v>Base_XLSX</x:v>
      </x:c>
      <x:c r="E189" s="15" t="n">
        <x:v>3</x:v>
      </x:c>
      <x:c r="F189" s="15" t="str">
        <x:v>Base only</x:v>
      </x:c>
      <x:c r="G189" s="15" t="str">
        <x:v>Born with Magic</x:v>
      </x:c>
      <x:c r="H189" s="15" t="str">
        <x:v>Born with Magic</x:v>
      </x:c>
      <x:c r="I189" s="15" t="str">
        <x:v>AIGC/animation candidate; official flag not found</x:v>
      </x:c>
      <x:c r="J189" s="15" t="str">
        <x:v>AIGC/Animation candidate</x:v>
      </x:c>
      <x:c r="K189" s="15" t="str">
        <x:v>Female / Romance</x:v>
      </x:c>
      <x:c r="L189" s="15" t="str">
        <x:v>Magic / Fantasy / Romance</x:v>
      </x:c>
      <x:c r="M189" s="15" t="str">
        <x:v>Progression/spectacle</x:v>
      </x:c>
      <x:c r="N189" s="15" t="str">
        <x:v>무료부에서는 결핍과 예고, 유료부에서는 보상/진실/역전</x:v>
      </x:c>
      <x:c r="O189" s="15" t="str">
        <x:v>High: VFX·세계관·시스템 UI·비현실 스케일을 직접 보상화</x:v>
      </x:c>
      <x:c r="P189" s="15" t="str">
        <x:v>마법/환생/판타지 카탈로그 후보.</x:v>
      </x:c>
      <x:c r="Q189" s="15" t="str">
        <x:v>YouTube playlist signal.</x:v>
      </x:c>
      <x:c r="R189" s="15" t="str">
        <x:v>Playlist signal.</x:v>
      </x:c>
      <x:c r="S189" s="15" t="str">
        <x:v>D / Needs verification</x:v>
      </x:c>
      <x:c r="T189" s="18" t="n">
        <x:v>52</x:v>
      </x:c>
      <x:c r="U189" s="15" t="str">
        <x:v>D_Verify</x:v>
      </x:c>
      <x:c r="V189" s="15" t="str">
        <x:v>POSSIBLE_REPLACE_BY_SUPPLEMENT</x:v>
      </x:c>
      <x:c r="W189" s="15" t="str">
        <x:v>The Mighty Lady Fixes the Manor</x:v>
      </x:c>
      <x:c r="X189" s="15" t="str">
        <x:v>동월·동플랫폼 보강자료 후보가 있고, 현행 행의 confidence가 Low라 교체 후보.</x:v>
      </x:c>
      <x:c r="Y189" s="15" t="str">
        <x:v>https://www.youtube.com/playlist?list=PLXljp-Au7yot8Ibv1T9xE5RQxGRqKqAXm</x:v>
      </x:c>
      <x:c r="Z189" s="15" t="str">
        <x:v>제작 AIGC 직접 표기 확인 필요.</x:v>
      </x:c>
    </x:row>
    <x:row r="190">
      <x:c r="A190" s="15" t="str">
        <x:v>L0189</x:v>
      </x:c>
      <x:c r="B190" s="15" t="str">
        <x:v>2025-10</x:v>
      </x:c>
      <x:c r="C190" s="15" t="str">
        <x:v>DramaWave</x:v>
      </x:c>
      <x:c r="D190" s="15" t="str">
        <x:v>Base_XLSX</x:v>
      </x:c>
      <x:c r="E190" s="15" t="n">
        <x:v>1</x:v>
      </x:c>
      <x:c r="F190" s="15" t="str">
        <x:v>Base only</x:v>
      </x:c>
      <x:c r="G190" s="15" t="str">
        <x:v>AI Micro-Drama Global Expansion cluster</x:v>
      </x:c>
      <x:c r="H190" s="15" t="str">
        <x:v>AI Micro-Drama Global Expansion cluster</x:v>
      </x:c>
      <x:c r="I190" s="15" t="str">
        <x:v>AIGC platform signal</x:v>
      </x:c>
      <x:c r="J190" s="15" t="str">
        <x:v>AIGC/Animation candidate</x:v>
      </x:c>
      <x:c r="K190" s="15" t="str">
        <x:v>Mixed / General</x:v>
      </x:c>
      <x:c r="L190" s="15" t="str">
        <x:v>AI Microdrama / Animated Comic Drama</x:v>
      </x:c>
      <x:c r="M190" s="15" t="str">
        <x:v>Revenge/regret payoff</x:v>
      </x:c>
      <x:c r="N190" s="15" t="str">
        <x:v>무료부에서는 결핍과 예고, 유료부에서는 보상/진실/역전</x:v>
      </x:c>
      <x:c r="O190" s="15" t="str">
        <x:v>High: VFX·세계관·시스템 UI·비현실 스케일을 직접 보상화</x:v>
      </x:c>
      <x:c r="P190" s="15" t="str">
        <x:v>AI animated comic drama 포함, 해외 microdrama 시장의 AIGC 전환 신호.</x:v>
      </x:c>
      <x:c r="Q190" s="15" t="str">
        <x:v>Melolo article cites AI microdrama overseas push and 159%/325% YoY growth as of Oct 2025.</x:v>
      </x:c>
      <x:c r="R190" s="15" t="str">
        <x:v>Industry-level signal.</x:v>
      </x:c>
      <x:c r="S190" s="15" t="str">
        <x:v>C / Watch</x:v>
      </x:c>
      <x:c r="T190" s="18" t="n">
        <x:v>63</x:v>
      </x:c>
      <x:c r="U190" s="15" t="str">
        <x:v>C_Watch</x:v>
      </x:c>
      <x:c r="V190" s="15" t="str">
        <x:v>KEEP</x:v>
      </x:c>
      <x:c r="W190" s="15" t="str"/>
      <x:c r="X190" s="15" t="str"/>
      <x:c r="Y190" s="15" t="str">
        <x:v>https://melolo.com/guides/ai-micro-dramas-global-expansion-melolo-southeast-asia</x:v>
      </x:c>
      <x:c r="Z190" s="15" t="str">
        <x:v>제작 AIGC 직접 표기 확인 필요.</x:v>
      </x:c>
    </x:row>
    <x:row r="191">
      <x:c r="A191" s="15" t="str">
        <x:v>L0190</x:v>
      </x:c>
      <x:c r="B191" s="15" t="str">
        <x:v>2025-10</x:v>
      </x:c>
      <x:c r="C191" s="15" t="str">
        <x:v>DramaWave</x:v>
      </x:c>
      <x:c r="D191" s="15" t="str">
        <x:v>Base_XLSX</x:v>
      </x:c>
      <x:c r="E191" s="15" t="n">
        <x:v>2</x:v>
      </x:c>
      <x:c r="F191" s="15" t="str">
        <x:v>Base only</x:v>
      </x:c>
      <x:c r="G191" s="15" t="str">
        <x:v>DramaWave dubbed-drama catalog</x:v>
      </x:c>
      <x:c r="H191" s="15" t="str">
        <x:v>DramaWave dubbed-drama catalog</x:v>
      </x:c>
      <x:c r="I191" s="15" t="str">
        <x:v>Platform signal</x:v>
      </x:c>
      <x:c r="J191" s="15" t="str">
        <x:v>Not flagged</x:v>
      </x:c>
      <x:c r="K191" s="15" t="str">
        <x:v>Mixed / General</x:v>
      </x:c>
      <x:c r="L191" s="15" t="str">
        <x:v>Dubbed Drama / Localization</x:v>
      </x:c>
      <x:c r="M191" s="15" t="str">
        <x:v>Core melodrama hook</x:v>
      </x:c>
      <x:c r="N191" s="15" t="str">
        <x:v>무료부에서는 결핍과 예고, 유료부에서는 보상/진실/역전</x:v>
      </x:c>
      <x:c r="O191" s="15" t="str">
        <x:v>Medium: 광고 컷·후킹 이미지 보강용</x:v>
      </x:c>
      <x:c r="P191" s="15" t="str">
        <x:v>해외 시장에서는 dubbed drama가 backbone으로 작동한다는 산업 자료와 연결.</x:v>
      </x:c>
      <x:c r="Q191" s="15" t="str">
        <x:v>Melolo says dubbed dramas up to 90% of overseas content backbone.</x:v>
      </x:c>
      <x:c r="R191" s="15" t="str">
        <x:v>Industry signal.</x:v>
      </x:c>
      <x:c r="S191" s="15" t="str">
        <x:v>C / Watch</x:v>
      </x:c>
      <x:c r="T191" s="18" t="n">
        <x:v>63</x:v>
      </x:c>
      <x:c r="U191" s="15" t="str">
        <x:v>C_Watch</x:v>
      </x:c>
      <x:c r="V191" s="15" t="str">
        <x:v>KEEP</x:v>
      </x:c>
      <x:c r="W191" s="15" t="str"/>
      <x:c r="X191" s="15" t="str"/>
      <x:c r="Y191" s="15" t="str">
        <x:v>https://melolo.com/guides/ai-micro-dramas-global-expansion-melolo-southeast-asia</x:v>
      </x:c>
      <x:c r="Z191" s="15" t="str">
        <x:v>공식 성과/광고 집행량 재확인.</x:v>
      </x:c>
    </x:row>
    <x:row r="192">
      <x:c r="A192" s="15" t="str">
        <x:v>L0191</x:v>
      </x:c>
      <x:c r="B192" s="15" t="str">
        <x:v>2025-10</x:v>
      </x:c>
      <x:c r="C192" s="15" t="str">
        <x:v>DramaWave</x:v>
      </x:c>
      <x:c r="D192" s="15" t="str">
        <x:v>Base_XLSX</x:v>
      </x:c>
      <x:c r="E192" s="15" t="n">
        <x:v>3</x:v>
      </x:c>
      <x:c r="F192" s="15" t="str">
        <x:v>Base only</x:v>
      </x:c>
      <x:c r="G192" s="15" t="str">
        <x:v>Love at Fifty</x:v>
      </x:c>
      <x:c r="H192" s="15" t="str">
        <x:v>Love at Fifty</x:v>
      </x:c>
      <x:c r="I192" s="15" t="str">
        <x:v>Live-action/dubbed; AIGC not flagged</x:v>
      </x:c>
      <x:c r="J192" s="15" t="str">
        <x:v>Not flagged</x:v>
      </x:c>
      <x:c r="K192" s="15" t="str">
        <x:v>Female / Romance</x:v>
      </x:c>
      <x:c r="L192" s="15" t="str">
        <x:v>Mature Romance / Divorce</x:v>
      </x:c>
      <x:c r="M192" s="15" t="str">
        <x:v>Core melodrama hook</x:v>
      </x:c>
      <x:c r="N192" s="15" t="str">
        <x:v>무료부에서는 결핍과 예고, 유료부에서는 보상/진실/역전</x:v>
      </x:c>
      <x:c r="O192" s="15" t="str">
        <x:v>Medium: 광고 컷·후킹 이미지 보강용</x:v>
      </x:c>
      <x:c r="P192" s="15" t="str">
        <x:v>중년 로맨스/이혼 재시작 계열.</x:v>
      </x:c>
      <x:c r="Q192" s="15" t="str">
        <x:v>YouTube playlist signal.</x:v>
      </x:c>
      <x:c r="R192" s="15" t="str">
        <x:v>Playlist signal.</x:v>
      </x:c>
      <x:c r="S192" s="15" t="str">
        <x:v>D / Needs verification</x:v>
      </x:c>
      <x:c r="T192" s="18" t="n">
        <x:v>52</x:v>
      </x:c>
      <x:c r="U192" s="15" t="str">
        <x:v>D_Verify</x:v>
      </x:c>
      <x:c r="V192" s="15" t="str">
        <x:v>POSSIBLE_REPLACE_BY_SUPPLEMENT</x:v>
      </x:c>
      <x:c r="W192" s="15" t="str">
        <x:v>Wrong Sperm, Right Love</x:v>
      </x:c>
      <x:c r="X192" s="15" t="str">
        <x:v>동월·동플랫폼 보강자료 후보가 있고, 현행 행의 confidence가 Low라 교체 후보.</x:v>
      </x:c>
      <x:c r="Y192" s="15" t="str">
        <x:v>https://www.youtube.com/playlist?list=PLXL2YEPKBPRPt0w8w2pdG5O2aOYpkNo9H</x:v>
      </x:c>
      <x:c r="Z192" s="15" t="str">
        <x:v>공식 성과/광고 집행량 재확인.</x:v>
      </x:c>
    </x:row>
    <x:row r="193">
      <x:c r="A193" s="15" t="str">
        <x:v>L0192</x:v>
      </x:c>
      <x:c r="B193" s="15" t="str">
        <x:v>2025-11</x:v>
      </x:c>
      <x:c r="C193" s="15" t="str">
        <x:v>DramaWave</x:v>
      </x:c>
      <x:c r="D193" s="15" t="str">
        <x:v>Base_XLSX</x:v>
      </x:c>
      <x:c r="E193" s="15" t="n">
        <x:v>1</x:v>
      </x:c>
      <x:c r="F193" s="15" t="str">
        <x:v>Base only</x:v>
      </x:c>
      <x:c r="G193" s="15" t="str">
        <x:v>Never Break a Queen’s Heart</x:v>
      </x:c>
      <x:c r="H193" s="15" t="str">
        <x:v>Never Break a Queen’s Heart</x:v>
      </x:c>
      <x:c r="I193" s="15" t="str">
        <x:v>Live-action; AIGC not flagged</x:v>
      </x:c>
      <x:c r="J193" s="15" t="str">
        <x:v>Not flagged</x:v>
      </x:c>
      <x:c r="K193" s="15" t="str">
        <x:v>Female / Romance</x:v>
      </x:c>
      <x:c r="L193" s="15" t="str">
        <x:v>Secret Heiress / Cheating Husband / Public Exposure</x:v>
      </x:c>
      <x:c r="M193" s="15" t="str">
        <x:v>Hidden-identity reveal + Revenge/regret payoff</x:v>
      </x:c>
      <x:c r="N193" s="15" t="str">
        <x:v>정체/권력 공개 직전까지 결핍·오해를 누적</x:v>
      </x:c>
      <x:c r="O193" s="15" t="str">
        <x:v>Medium: 광고 컷·후킹 이미지 보강용</x:v>
      </x:c>
      <x:c r="P193" s="15" t="str">
        <x:v>항공 관제사이자 항공 재벌 상속녀 Chloe가 불륜 남편의 커리어를 무너뜨림.</x:v>
      </x:c>
      <x:c r="Q193" s="15" t="str">
        <x:v>Facebook clip had 55K views Nov 2025; later Melolo guide in Apr 2026.</x:v>
      </x:c>
      <x:c r="R193" s="15" t="str">
        <x:v>Strong social clip signal.</x:v>
      </x:c>
      <x:c r="S193" s="15" t="str">
        <x:v>C / Watch</x:v>
      </x:c>
      <x:c r="T193" s="18" t="n">
        <x:v>63</x:v>
      </x:c>
      <x:c r="U193" s="15" t="str">
        <x:v>C_Watch</x:v>
      </x:c>
      <x:c r="V193" s="15" t="str">
        <x:v>KEEP</x:v>
      </x:c>
      <x:c r="W193" s="15" t="str"/>
      <x:c r="X193" s="15" t="str"/>
      <x:c r="Y193" s="15" t="str">
        <x:v>https://melolo.com/guides/never-break-a-queens-heart</x:v>
      </x:c>
      <x:c r="Z193" s="15" t="str">
        <x:v>공식 성과/광고 집행량 재확인.</x:v>
      </x:c>
    </x:row>
    <x:row r="194">
      <x:c r="A194" s="15" t="str">
        <x:v>L0193</x:v>
      </x:c>
      <x:c r="B194" s="15" t="str">
        <x:v>2025-11</x:v>
      </x:c>
      <x:c r="C194" s="15" t="str">
        <x:v>DramaWave</x:v>
      </x:c>
      <x:c r="D194" s="15" t="str">
        <x:v>Base_XLSX</x:v>
      </x:c>
      <x:c r="E194" s="15" t="n">
        <x:v>2</x:v>
      </x:c>
      <x:c r="F194" s="15" t="str">
        <x:v>Base only</x:v>
      </x:c>
      <x:c r="G194" s="15" t="str">
        <x:v>DramaWave AI/SEA pilot cluster</x:v>
      </x:c>
      <x:c r="H194" s="15" t="str">
        <x:v>DramaWave AI/SEA pilot cluster</x:v>
      </x:c>
      <x:c r="I194" s="15" t="str">
        <x:v>AIGC platform signal</x:v>
      </x:c>
      <x:c r="J194" s="15" t="str">
        <x:v>Not flagged</x:v>
      </x:c>
      <x:c r="K194" s="15" t="str">
        <x:v>Mixed / General</x:v>
      </x:c>
      <x:c r="L194" s="15" t="str">
        <x:v>AI Microdrama / SEA Expansion</x:v>
      </x:c>
      <x:c r="M194" s="15" t="str">
        <x:v>Revenge/regret payoff</x:v>
      </x:c>
      <x:c r="N194" s="15" t="str">
        <x:v>무료부에서는 결핍과 예고, 유료부에서는 보상/진실/역전</x:v>
      </x:c>
      <x:c r="O194" s="15" t="str">
        <x:v>High: VFX·세계관·시스템 UI·비현실 스케일을 직접 보상화</x:v>
      </x:c>
      <x:c r="P194" s="15" t="str">
        <x:v>AIGC microdrama는 SEA에서 신규 실험장으로 확산 중.</x:v>
      </x:c>
      <x:c r="Q194" s="15" t="str">
        <x:v>Melolo Dec 2025 article compiles industry moves.</x:v>
      </x:c>
      <x:c r="R194" s="15" t="str">
        <x:v>Industry signal.</x:v>
      </x:c>
      <x:c r="S194" s="15" t="str">
        <x:v>C / Watch</x:v>
      </x:c>
      <x:c r="T194" s="18" t="n">
        <x:v>63</x:v>
      </x:c>
      <x:c r="U194" s="15" t="str">
        <x:v>C_Watch</x:v>
      </x:c>
      <x:c r="V194" s="15" t="str">
        <x:v>KEEP</x:v>
      </x:c>
      <x:c r="W194" s="15" t="str"/>
      <x:c r="X194" s="15" t="str"/>
      <x:c r="Y194" s="15" t="str">
        <x:v>https://melolo.com/guides/ai-micro-dramas-global-expansion-melolo-southeast-asia</x:v>
      </x:c>
      <x:c r="Z194" s="15" t="str">
        <x:v>공식 성과/광고 집행량 재확인.</x:v>
      </x:c>
    </x:row>
    <x:row r="195">
      <x:c r="A195" s="15" t="str">
        <x:v>L0194</x:v>
      </x:c>
      <x:c r="B195" s="15" t="str">
        <x:v>2025-11</x:v>
      </x:c>
      <x:c r="C195" s="15" t="str">
        <x:v>DramaWave</x:v>
      </x:c>
      <x:c r="D195" s="15" t="str">
        <x:v>Base_XLSX</x:v>
      </x:c>
      <x:c r="E195" s="15" t="n">
        <x:v>3</x:v>
      </x:c>
      <x:c r="F195" s="15" t="str">
        <x:v>Base only</x:v>
      </x:c>
      <x:c r="G195" s="15" t="str">
        <x:v>DramaWave app/channel library</x:v>
      </x:c>
      <x:c r="H195" s="15" t="str">
        <x:v>DramaWave app/channel library</x:v>
      </x:c>
      <x:c r="I195" s="15" t="str">
        <x:v>Platform signal</x:v>
      </x:c>
      <x:c r="J195" s="15" t="str">
        <x:v>Not flagged</x:v>
      </x:c>
      <x:c r="K195" s="15" t="str">
        <x:v>Mixed / General</x:v>
      </x:c>
      <x:c r="L195" s="15" t="str">
        <x:v>Platform Catalog</x:v>
      </x:c>
      <x:c r="M195" s="15" t="str">
        <x:v>Core melodrama hook</x:v>
      </x:c>
      <x:c r="N195" s="15" t="str">
        <x:v>무료부에서는 결핍과 예고, 유료부에서는 보상/진실/역전</x:v>
      </x:c>
      <x:c r="O195" s="15" t="str">
        <x:v>Medium: 광고 컷·후킹 이미지 보강용</x:v>
      </x:c>
      <x:c r="P195" s="15" t="str">
        <x:v>공식/준공식 YouTube·앱 카탈로그 확대.</x:v>
      </x:c>
      <x:c r="Q195" s="15" t="str">
        <x:v>DramaWave 5.31M subscriber page signal.</x:v>
      </x:c>
      <x:c r="R195" s="15" t="str">
        <x:v>Channel signal.</x:v>
      </x:c>
      <x:c r="S195" s="15" t="str">
        <x:v>C / Watch</x:v>
      </x:c>
      <x:c r="T195" s="18" t="n">
        <x:v>69</x:v>
      </x:c>
      <x:c r="U195" s="15" t="str">
        <x:v>C_Watch</x:v>
      </x:c>
      <x:c r="V195" s="15" t="str">
        <x:v>KEEP</x:v>
      </x:c>
      <x:c r="W195" s="15" t="str"/>
      <x:c r="X195" s="15" t="str"/>
      <x:c r="Y195" s="15" t="str">
        <x:v>https://music.youtube.com/channel/UCJvJ4D-ES4Ca51aUCvtZVuw</x:v>
      </x:c>
      <x:c r="Z195" s="15" t="str">
        <x:v>공식 성과/광고 집행량 재확인.</x:v>
      </x:c>
    </x:row>
    <x:row r="196">
      <x:c r="A196" s="15" t="str">
        <x:v>L0195</x:v>
      </x:c>
      <x:c r="B196" s="15" t="str">
        <x:v>2025-12</x:v>
      </x:c>
      <x:c r="C196" s="15" t="str">
        <x:v>DramaWave</x:v>
      </x:c>
      <x:c r="D196" s="15" t="str">
        <x:v>Base_XLSX</x:v>
      </x:c>
      <x:c r="E196" s="15" t="n">
        <x:v>1</x:v>
      </x:c>
      <x:c r="F196" s="15" t="str">
        <x:v>Base only</x:v>
      </x:c>
      <x:c r="G196" s="15" t="str">
        <x:v>AI Micro-Dramas Go Global cluster</x:v>
      </x:c>
      <x:c r="H196" s="15" t="str">
        <x:v>AI Micro-Dramas Go Global cluster</x:v>
      </x:c>
      <x:c r="I196" s="15" t="str">
        <x:v>AIGC platform signal</x:v>
      </x:c>
      <x:c r="J196" s="15" t="str">
        <x:v>Not flagged</x:v>
      </x:c>
      <x:c r="K196" s="15" t="str">
        <x:v>Mixed / General</x:v>
      </x:c>
      <x:c r="L196" s="15" t="str">
        <x:v>AI Microdrama / Global Expansion / Cost Efficiency</x:v>
      </x:c>
      <x:c r="M196" s="15" t="str">
        <x:v>Revenge/regret payoff</x:v>
      </x:c>
      <x:c r="N196" s="15" t="str">
        <x:v>무료부에서는 결핍과 예고, 유료부에서는 보상/진실/역전</x:v>
      </x:c>
      <x:c r="O196" s="15" t="str">
        <x:v>Medium: 광고 컷·후킹 이미지 보강용</x:v>
      </x:c>
      <x:c r="P196" s="15" t="str">
        <x:v>DramaWave 포함 글로벌 플랫폼이 AI micro-drama content를 시작했다는 산업 기사.</x:v>
      </x:c>
      <x:c r="Q196" s="15" t="str">
        <x:v>Article says overseas revenue/downloads up 159%/325% YoY and market nearing $2B.</x:v>
      </x:c>
      <x:c r="R196" s="15" t="str">
        <x:v>Published 2025-12-23.</x:v>
      </x:c>
      <x:c r="S196" s="15" t="str">
        <x:v>B / Useful verified</x:v>
      </x:c>
      <x:c r="T196" s="18" t="n">
        <x:v>78</x:v>
      </x:c>
      <x:c r="U196" s="15" t="str">
        <x:v>B_Strong</x:v>
      </x:c>
      <x:c r="V196" s="15" t="str">
        <x:v>KEEP</x:v>
      </x:c>
      <x:c r="W196" s="15" t="str"/>
      <x:c r="X196" s="15" t="str"/>
      <x:c r="Y196" s="15" t="str">
        <x:v>https://melolo.com/guides/ai-micro-dramas-global-expansion-melolo-southeast-asia</x:v>
      </x:c>
      <x:c r="Z196" s="15" t="str"/>
    </x:row>
    <x:row r="197">
      <x:c r="A197" s="15" t="str">
        <x:v>L0196</x:v>
      </x:c>
      <x:c r="B197" s="15" t="str">
        <x:v>2025-12</x:v>
      </x:c>
      <x:c r="C197" s="15" t="str">
        <x:v>DramaWave</x:v>
      </x:c>
      <x:c r="D197" s="15" t="str">
        <x:v>Base_XLSX</x:v>
      </x:c>
      <x:c r="E197" s="15" t="n">
        <x:v>2</x:v>
      </x:c>
      <x:c r="F197" s="15" t="str">
        <x:v>Base only</x:v>
      </x:c>
      <x:c r="G197" s="15" t="str">
        <x:v>Never Break a Queen’s Heart</x:v>
      </x:c>
      <x:c r="H197" s="15" t="str">
        <x:v>Never Break a Queen’s Heart</x:v>
      </x:c>
      <x:c r="I197" s="15" t="str">
        <x:v>Live-action; AIGC not flagged</x:v>
      </x:c>
      <x:c r="J197" s="15" t="str">
        <x:v>Not flagged</x:v>
      </x:c>
      <x:c r="K197" s="15" t="str">
        <x:v>Female / Revenge-SFL</x:v>
      </x:c>
      <x:c r="L197" s="15" t="str">
        <x:v>Secret Heiress / Aviation / Revenge</x:v>
      </x:c>
      <x:c r="M197" s="15" t="str">
        <x:v>Hidden-identity reveal + Revenge/regret payoff</x:v>
      </x:c>
      <x:c r="N197" s="15" t="str">
        <x:v>정체/권력 공개 직전까지 결핍·오해를 누적</x:v>
      </x:c>
      <x:c r="O197" s="15" t="str">
        <x:v>Medium: 광고 컷·후킹 이미지 보강용</x:v>
      </x:c>
      <x:c r="P197" s="15" t="str">
        <x:v>숨겨진 aviation heiress가 불륜 남편에게 공개 폭로/복수를 수행.</x:v>
      </x:c>
      <x:c r="Q197" s="15" t="str">
        <x:v>Nov-Dec social + Apr guide signal.</x:v>
      </x:c>
      <x:c r="R197" s="15" t="str">
        <x:v>55K FB clip + guide.</x:v>
      </x:c>
      <x:c r="S197" s="15" t="str">
        <x:v>B / Useful verified</x:v>
      </x:c>
      <x:c r="T197" s="18" t="n">
        <x:v>75</x:v>
      </x:c>
      <x:c r="U197" s="15" t="str">
        <x:v>B_Strong</x:v>
      </x:c>
      <x:c r="V197" s="15" t="str">
        <x:v>KEEP</x:v>
      </x:c>
      <x:c r="W197" s="15" t="str"/>
      <x:c r="X197" s="15" t="str"/>
      <x:c r="Y197" s="15" t="str">
        <x:v>https://melolo.com/guides/never-break-a-queens-heart</x:v>
      </x:c>
      <x:c r="Z197" s="15" t="str"/>
    </x:row>
    <x:row r="198">
      <x:c r="A198" s="15" t="str">
        <x:v>L0197</x:v>
      </x:c>
      <x:c r="B198" s="15" t="str">
        <x:v>2025-12</x:v>
      </x:c>
      <x:c r="C198" s="15" t="str">
        <x:v>DramaWave</x:v>
      </x:c>
      <x:c r="D198" s="15" t="str">
        <x:v>Base_XLSX</x:v>
      </x:c>
      <x:c r="E198" s="15" t="n">
        <x:v>3</x:v>
      </x:c>
      <x:c r="F198" s="15" t="str">
        <x:v>Base only</x:v>
      </x:c>
      <x:c r="G198" s="15" t="str">
        <x:v>그대는 오아시스</x:v>
      </x:c>
      <x:c r="H198" s="15" t="str">
        <x:v>그대는 오아시스</x:v>
      </x:c>
      <x:c r="I198" s="15" t="str">
        <x:v>Live-action/dubbed; AIGC not flagged</x:v>
      </x:c>
      <x:c r="J198" s="15" t="str">
        <x:v>Not flagged</x:v>
      </x:c>
      <x:c r="K198" s="15" t="str">
        <x:v>Female / Romance</x:v>
      </x:c>
      <x:c r="L198" s="15" t="str">
        <x:v>Healing Romance / Oasis</x:v>
      </x:c>
      <x:c r="M198" s="15" t="str">
        <x:v>Core melodrama hook</x:v>
      </x:c>
      <x:c r="N198" s="15" t="str">
        <x:v>무료부에서는 결핍과 예고, 유료부에서는 보상/진실/역전</x:v>
      </x:c>
      <x:c r="O198" s="15" t="str">
        <x:v>Medium: 광고 컷·후킹 이미지 보강용</x:v>
      </x:c>
      <x:c r="P198" s="15" t="str">
        <x:v>한국어 DramaWave 계정에서 노출된 로맨스/치유형 시리즈.</x:v>
      </x:c>
      <x:c r="Q198" s="15" t="str">
        <x:v>Korean Instagram post Dec 18 2025.</x:v>
      </x:c>
      <x:c r="R198" s="15" t="str">
        <x:v>Social signal only.</x:v>
      </x:c>
      <x:c r="S198" s="15" t="str">
        <x:v>D / Needs verification</x:v>
      </x:c>
      <x:c r="T198" s="18" t="n">
        <x:v>50</x:v>
      </x:c>
      <x:c r="U198" s="15" t="str">
        <x:v>D_Verify</x:v>
      </x:c>
      <x:c r="V198" s="15" t="str">
        <x:v>POSSIBLE_REPLACE_BY_SUPPLEMENT</x:v>
      </x:c>
      <x:c r="W198" s="15" t="str">
        <x:v>The Mafia King Wants Me</x:v>
      </x:c>
      <x:c r="X198" s="15" t="str">
        <x:v>동월·동플랫폼 보강자료 후보가 있고, 현행 행의 confidence가 Low라 교체 후보.</x:v>
      </x:c>
      <x:c r="Y198" s="15" t="str">
        <x:v>https://www.instagram.com/reel/DSZfRIdkZVV/</x:v>
      </x:c>
      <x:c r="Z198" s="15" t="str">
        <x:v>공식 성과/광고 집행량 재확인.</x:v>
      </x:c>
    </x:row>
    <x:row r="199">
      <x:c r="A199" s="15" t="str">
        <x:v>L0198</x:v>
      </x:c>
      <x:c r="B199" s="15" t="str">
        <x:v>2026-01</x:v>
      </x:c>
      <x:c r="C199" s="15" t="str">
        <x:v>DramaWave</x:v>
      </x:c>
      <x:c r="D199" s="15" t="str">
        <x:v>Base_XLSX</x:v>
      </x:c>
      <x:c r="E199" s="15" t="n">
        <x:v>1</x:v>
      </x:c>
      <x:c r="F199" s="15" t="str">
        <x:v>Base only</x:v>
      </x:c>
      <x:c r="G199" s="15" t="str">
        <x:v>DramaWave AI launch/catalog phase</x:v>
      </x:c>
      <x:c r="H199" s="15" t="str">
        <x:v>DramaWave AI launch/catalog phase</x:v>
      </x:c>
      <x:c r="I199" s="15" t="str">
        <x:v>AIGC platform signal</x:v>
      </x:c>
      <x:c r="J199" s="15" t="str">
        <x:v>Not flagged</x:v>
      </x:c>
      <x:c r="K199" s="15" t="str">
        <x:v>Mixed / General</x:v>
      </x:c>
      <x:c r="L199" s="15" t="str">
        <x:v>AI Microdrama / Catalog Expansion</x:v>
      </x:c>
      <x:c r="M199" s="15" t="str">
        <x:v>Revenge/regret payoff</x:v>
      </x:c>
      <x:c r="N199" s="15" t="str">
        <x:v>무료부에서는 결핍과 예고, 유료부에서는 보상/진실/역전</x:v>
      </x:c>
      <x:c r="O199" s="15" t="str">
        <x:v>Medium: 광고 컷·후킹 이미지 보강용</x:v>
      </x:c>
      <x:c r="P199" s="15" t="str">
        <x:v>2026 초반 DramaWave의 AI/로컬라이즈드 vertical catalog 강화 단계.</x:v>
      </x:c>
      <x:c r="Q199" s="15" t="str">
        <x:v>Industry article + app/channel signals.</x:v>
      </x:c>
      <x:c r="R199" s="15" t="str">
        <x:v>Platform signal.</x:v>
      </x:c>
      <x:c r="S199" s="15" t="str">
        <x:v>C / Watch</x:v>
      </x:c>
      <x:c r="T199" s="18" t="n">
        <x:v>63</x:v>
      </x:c>
      <x:c r="U199" s="15" t="str">
        <x:v>C_Watch</x:v>
      </x:c>
      <x:c r="V199" s="15" t="str">
        <x:v>KEEP</x:v>
      </x:c>
      <x:c r="W199" s="15" t="str"/>
      <x:c r="X199" s="15" t="str"/>
      <x:c r="Y199" s="15" t="str">
        <x:v>https://melolo.com/guides/ai-micro-dramas-global-expansion-melolo-southeast-asia | https://apptopia.com/ios/app/6670430706/about</x:v>
      </x:c>
      <x:c r="Z199" s="15" t="str">
        <x:v>공식 성과/광고 집행량 재확인.</x:v>
      </x:c>
    </x:row>
    <x:row r="200">
      <x:c r="A200" s="15" t="str">
        <x:v>L0199</x:v>
      </x:c>
      <x:c r="B200" s="15" t="str">
        <x:v>2026-01</x:v>
      </x:c>
      <x:c r="C200" s="15" t="str">
        <x:v>DramaWave</x:v>
      </x:c>
      <x:c r="D200" s="15" t="str">
        <x:v>Base_XLSX</x:v>
      </x:c>
      <x:c r="E200" s="15" t="n">
        <x:v>2</x:v>
      </x:c>
      <x:c r="F200" s="15" t="str">
        <x:v>Base only</x:v>
      </x:c>
      <x:c r="G200" s="15" t="str">
        <x:v>When the Moon Hides Crown</x:v>
      </x:c>
      <x:c r="H200" s="15" t="str">
        <x:v>When the Moon Hides Crown</x:v>
      </x:c>
      <x:c r="I200" s="15" t="str">
        <x:v>Explicit AI-generated drama</x:v>
      </x:c>
      <x:c r="J200" s="15" t="str">
        <x:v>Direct/Explicit AI</x:v>
      </x:c>
      <x:c r="K200" s="15" t="str">
        <x:v>Female / Romance</x:v>
      </x:c>
      <x:c r="L200" s="15" t="str">
        <x:v>AI-generated / Werewolf Academy / Disguise / Paranormal Romance</x:v>
      </x:c>
      <x:c r="M200" s="15" t="str">
        <x:v>Core melodrama hook</x:v>
      </x:c>
      <x:c r="N200" s="15" t="str">
        <x:v>무료부에서는 결핍과 예고, 유료부에서는 보상/진실/역전</x:v>
      </x:c>
      <x:c r="O200" s="15" t="str">
        <x:v>High: VFX·세계관·시스템 UI·비현실 스케일을 직접 보상화</x:v>
      </x:c>
      <x:c r="P200" s="15" t="str">
        <x:v>Seraphina Nightbane이 남장을 하고 남성 전용 werewolf academy에 잠입.</x:v>
      </x:c>
      <x:c r="Q200" s="15" t="str">
        <x:v>Melolo says it is an AI-generated drama using AI visuals and voice.</x:v>
      </x:c>
      <x:c r="R200" s="15" t="str">
        <x:v>2026 DramaWave AI title; based on Dreame novel.</x:v>
      </x:c>
      <x:c r="S200" s="15" t="str">
        <x:v>B / Useful verified</x:v>
      </x:c>
      <x:c r="T200" s="18" t="n">
        <x:v>78</x:v>
      </x:c>
      <x:c r="U200" s="15" t="str">
        <x:v>B_Strong</x:v>
      </x:c>
      <x:c r="V200" s="15" t="str">
        <x:v>KEEP</x:v>
      </x:c>
      <x:c r="W200" s="15" t="str"/>
      <x:c r="X200" s="15" t="str"/>
      <x:c r="Y200" s="15" t="str">
        <x:v>https://melolo.com/dramas/when-the-moon-hides-crown</x:v>
      </x:c>
      <x:c r="Z200" s="15" t="str"/>
    </x:row>
    <x:row r="201">
      <x:c r="A201" s="15" t="str">
        <x:v>L0200</x:v>
      </x:c>
      <x:c r="B201" s="15" t="str">
        <x:v>2026-01</x:v>
      </x:c>
      <x:c r="C201" s="15" t="str">
        <x:v>DramaWave</x:v>
      </x:c>
      <x:c r="D201" s="15" t="str">
        <x:v>Base_XLSX</x:v>
      </x:c>
      <x:c r="E201" s="15" t="n">
        <x:v>3</x:v>
      </x:c>
      <x:c r="F201" s="15" t="str">
        <x:v>Base only</x:v>
      </x:c>
      <x:c r="G201" s="15" t="str">
        <x:v>DramaWave YouTube Shorts catalog</x:v>
      </x:c>
      <x:c r="H201" s="15" t="str">
        <x:v>DramaWave YouTube Shorts catalog</x:v>
      </x:c>
      <x:c r="I201" s="15" t="str">
        <x:v>Platform signal</x:v>
      </x:c>
      <x:c r="J201" s="15" t="str">
        <x:v>Not flagged</x:v>
      </x:c>
      <x:c r="K201" s="15" t="str">
        <x:v>Mixed / General</x:v>
      </x:c>
      <x:c r="L201" s="15" t="str">
        <x:v>Shorts / Cliffhanger / Vertical</x:v>
      </x:c>
      <x:c r="M201" s="15" t="str">
        <x:v>Core melodrama hook</x:v>
      </x:c>
      <x:c r="N201" s="15" t="str">
        <x:v>무료부에서는 결핍과 예고, 유료부에서는 보상/진실/역전</x:v>
      </x:c>
      <x:c r="O201" s="15" t="str">
        <x:v>Medium: 광고 컷·후킹 이미지 보강용</x:v>
      </x:c>
      <x:c r="P201" s="15" t="str">
        <x:v>짧은 cliffhanger clips 중심으로 유튜브/쇼츠 카탈로그 운영.</x:v>
      </x:c>
      <x:c r="Q201" s="15" t="str">
        <x:v>Music YouTube page shows DramaWave channel scale.</x:v>
      </x:c>
      <x:c r="R201" s="15" t="str">
        <x:v>5.31M subscribers.</x:v>
      </x:c>
      <x:c r="S201" s="15" t="str">
        <x:v>B / Useful verified</x:v>
      </x:c>
      <x:c r="T201" s="18" t="n">
        <x:v>81</x:v>
      </x:c>
      <x:c r="U201" s="15" t="str">
        <x:v>B_Strong</x:v>
      </x:c>
      <x:c r="V201" s="15" t="str">
        <x:v>KEEP</x:v>
      </x:c>
      <x:c r="W201" s="15" t="str"/>
      <x:c r="X201" s="15" t="str"/>
      <x:c r="Y201" s="15" t="str">
        <x:v>https://music.youtube.com/channel/UCJvJ4D-ES4Ca51aUCvtZVuw</x:v>
      </x:c>
      <x:c r="Z201" s="15" t="str"/>
    </x:row>
    <x:row r="202">
      <x:c r="A202" s="15" t="str">
        <x:v>L0201</x:v>
      </x:c>
      <x:c r="B202" s="15" t="str">
        <x:v>2026-02</x:v>
      </x:c>
      <x:c r="C202" s="15" t="str">
        <x:v>DramaWave</x:v>
      </x:c>
      <x:c r="D202" s="15" t="str">
        <x:v>Base_XLSX</x:v>
      </x:c>
      <x:c r="E202" s="15" t="n">
        <x:v>1</x:v>
      </x:c>
      <x:c r="F202" s="15" t="str">
        <x:v>Base only</x:v>
      </x:c>
      <x:c r="G202" s="15" t="str">
        <x:v>When the Moon Hides Crown</x:v>
      </x:c>
      <x:c r="H202" s="15" t="str">
        <x:v>When the Moon Hides Crown</x:v>
      </x:c>
      <x:c r="I202" s="15" t="str">
        <x:v>Explicit AI-generated drama</x:v>
      </x:c>
      <x:c r="J202" s="15" t="str">
        <x:v>Direct/Explicit AI</x:v>
      </x:c>
      <x:c r="K202" s="15" t="str">
        <x:v>Mixed / General</x:v>
      </x:c>
      <x:c r="L202" s="15" t="str">
        <x:v>AI-generated / Werewolf Academy / Gender Disguise</x:v>
      </x:c>
      <x:c r="M202" s="15" t="str">
        <x:v>Core melodrama hook</x:v>
      </x:c>
      <x:c r="N202" s="15" t="str">
        <x:v>무료부에서는 결핍과 예고, 유료부에서는 보상/진실/역전</x:v>
      </x:c>
      <x:c r="O202" s="15" t="str">
        <x:v>High: VFX·세계관·시스템 UI·비현실 스케일을 직접 보상화</x:v>
      </x:c>
      <x:c r="P202" s="15" t="str">
        <x:v>저주받은 늑대인간 여주가 남장으로 아카데미에 들어가 왕관/정체 갈등에 휘말림.</x:v>
      </x:c>
      <x:c r="Q202" s="15" t="str">
        <x:v>AI visuals and voice confirmed by guide.</x:v>
      </x:c>
      <x:c r="R202" s="15" t="str">
        <x:v>AIGC reference title.</x:v>
      </x:c>
      <x:c r="S202" s="15" t="str">
        <x:v>B / Useful verified</x:v>
      </x:c>
      <x:c r="T202" s="18" t="n">
        <x:v>78</x:v>
      </x:c>
      <x:c r="U202" s="15" t="str">
        <x:v>B_Strong</x:v>
      </x:c>
      <x:c r="V202" s="15" t="str">
        <x:v>KEEP</x:v>
      </x:c>
      <x:c r="W202" s="15" t="str"/>
      <x:c r="X202" s="15" t="str"/>
      <x:c r="Y202" s="15" t="str">
        <x:v>https://melolo.com/dramas/when-the-moon-hides-crown</x:v>
      </x:c>
      <x:c r="Z202" s="15" t="str"/>
    </x:row>
    <x:row r="203">
      <x:c r="A203" s="15" t="str">
        <x:v>L0202</x:v>
      </x:c>
      <x:c r="B203" s="15" t="str">
        <x:v>2026-02</x:v>
      </x:c>
      <x:c r="C203" s="15" t="str">
        <x:v>DramaWave</x:v>
      </x:c>
      <x:c r="D203" s="15" t="str">
        <x:v>Base_XLSX</x:v>
      </x:c>
      <x:c r="E203" s="15" t="n">
        <x:v>2</x:v>
      </x:c>
      <x:c r="F203" s="15" t="str">
        <x:v>Base only</x:v>
      </x:c>
      <x:c r="G203" s="15" t="str">
        <x:v>Pucked by My Hockey Rival</x:v>
      </x:c>
      <x:c r="H203" s="15" t="str">
        <x:v>Pucked by My Hockey Rival</x:v>
      </x:c>
      <x:c r="I203" s="15" t="str">
        <x:v>Live-action; AIGC not flagged</x:v>
      </x:c>
      <x:c r="J203" s="15" t="str">
        <x:v>Not flagged</x:v>
      </x:c>
      <x:c r="K203" s="15" t="str">
        <x:v>Female / Romance</x:v>
      </x:c>
      <x:c r="L203" s="15" t="str">
        <x:v>BL / Hockey / Rivals-to-Lovers / Secret Letter</x:v>
      </x:c>
      <x:c r="M203" s="15" t="str">
        <x:v>Hidden-identity reveal + Campus/sports heat</x:v>
      </x:c>
      <x:c r="N203" s="15" t="str">
        <x:v>정체/권력 공개 직전까지 결핍·오해를 누적</x:v>
      </x:c>
      <x:c r="O203" s="15" t="str">
        <x:v>Medium-High: 압도적 외모·의상·공간 미감으로 실사형 보상 강화</x:v>
      </x:c>
      <x:c r="P203" s="15" t="str">
        <x:v>하키 선수 Owen이 라이벌 캡틴 David의 러브레터를 오해하며 BL 로맨스가 시작.</x:v>
      </x:c>
      <x:c r="Q203" s="15" t="str">
        <x:v>Melolo says official YouTube/Facebook pages and vertical installments.</x:v>
      </x:c>
      <x:c r="R203" s="15" t="str">
        <x:v>DramaWave 2026 LGBTQ+ short drama.</x:v>
      </x:c>
      <x:c r="S203" s="15" t="str">
        <x:v>B / Useful verified</x:v>
      </x:c>
      <x:c r="T203" s="18" t="n">
        <x:v>78</x:v>
      </x:c>
      <x:c r="U203" s="15" t="str">
        <x:v>B_Strong</x:v>
      </x:c>
      <x:c r="V203" s="15" t="str">
        <x:v>KEEP</x:v>
      </x:c>
      <x:c r="W203" s="15" t="str"/>
      <x:c r="X203" s="15" t="str"/>
      <x:c r="Y203" s="15" t="str">
        <x:v>https://melolo.com/guides/pucked-by-my-hockey-rival</x:v>
      </x:c>
      <x:c r="Z203" s="15" t="str"/>
    </x:row>
    <x:row r="204">
      <x:c r="A204" s="15" t="str">
        <x:v>L0203</x:v>
      </x:c>
      <x:c r="B204" s="15" t="str">
        <x:v>2026-02</x:v>
      </x:c>
      <x:c r="C204" s="15" t="str">
        <x:v>DramaWave</x:v>
      </x:c>
      <x:c r="D204" s="15" t="str">
        <x:v>Base_XLSX</x:v>
      </x:c>
      <x:c r="E204" s="15" t="n">
        <x:v>3</x:v>
      </x:c>
      <x:c r="F204" s="15" t="str">
        <x:v>Base only</x:v>
      </x:c>
      <x:c r="G204" s="15" t="str">
        <x:v>Traded to the Shadow Heir</x:v>
      </x:c>
      <x:c r="H204" s="15" t="str">
        <x:v>Traded to the Shadow Heir</x:v>
      </x:c>
      <x:c r="I204" s="15" t="str">
        <x:v>Live-action; AIGC not flagged</x:v>
      </x:c>
      <x:c r="J204" s="15" t="str">
        <x:v>Not flagged</x:v>
      </x:c>
      <x:c r="K204" s="15" t="str">
        <x:v>Female / Romance</x:v>
      </x:c>
      <x:c r="L204" s="15" t="str">
        <x:v>Mafia / Shadow Heir / Betrayed Fiancée / Protector ML</x:v>
      </x:c>
      <x:c r="M204" s="15" t="str">
        <x:v>Hidden-identity reveal + Revenge/regret payoff + High-status partner/authority</x:v>
      </x:c>
      <x:c r="N204" s="15" t="str">
        <x:v>정체/권력 공개 직전까지 결핍·오해를 누적</x:v>
      </x:c>
      <x:c r="O204" s="15" t="str">
        <x:v>Medium-High: 압도적 외모·의상·공간 미감으로 실사형 보상 강화</x:v>
      </x:c>
      <x:c r="P204" s="15" t="str">
        <x:v>Daisy가 fiancé Leo에게 마피아 보스 Ethan에게 넘겨지고, Ethan은 9년 사랑과 heir 정체로 그녀를 보호.</x:v>
      </x:c>
      <x:c r="Q204" s="15" t="str">
        <x:v>Reddit ask thread and social clips indicate search activation.</x:v>
      </x:c>
      <x:c r="R204" s="15" t="str">
        <x:v>Release 2026-03-26; strong pre/post social signal.</x:v>
      </x:c>
      <x:c r="S204" s="15" t="str">
        <x:v>B / Useful verified</x:v>
      </x:c>
      <x:c r="T204" s="18" t="n">
        <x:v>80</x:v>
      </x:c>
      <x:c r="U204" s="15" t="str">
        <x:v>B_Strong</x:v>
      </x:c>
      <x:c r="V204" s="15" t="str">
        <x:v>KEEP</x:v>
      </x:c>
      <x:c r="W204" s="15" t="str"/>
      <x:c r="X204" s="15" t="str"/>
      <x:c r="Y204" s="15" t="str">
        <x:v>https://melolo.com/guides/traded-to-the-shadow-heir | https://www.reddit.com/r/Askshortdramas/comments/1s3zlcs/traded_to_the_shadow_heir_short_drama/</x:v>
      </x:c>
      <x:c r="Z204" s="15" t="str"/>
    </x:row>
    <x:row r="205">
      <x:c r="A205" s="15" t="str">
        <x:v>L0204</x:v>
      </x:c>
      <x:c r="B205" s="15" t="str">
        <x:v>2026-02</x:v>
      </x:c>
      <x:c r="C205" s="15" t="str">
        <x:v>DramaWave</x:v>
      </x:c>
      <x:c r="D205" s="15" t="str">
        <x:v>Base_XLSX</x:v>
      </x:c>
      <x:c r="E205" s="15" t="n">
        <x:v>4</x:v>
      </x:c>
      <x:c r="F205" s="15" t="str">
        <x:v>Base only</x:v>
      </x:c>
      <x:c r="G205" s="15" t="str">
        <x:v>Marked by My Alpha Stepbrother</x:v>
      </x:c>
      <x:c r="H205" s="15" t="str">
        <x:v>Marked by My Alpha Stepbrother</x:v>
      </x:c>
      <x:c r="I205" s="15" t="str">
        <x:v>Live-action; AIGC not flagged</x:v>
      </x:c>
      <x:c r="J205" s="15" t="str">
        <x:v>Not flagged</x:v>
      </x:c>
      <x:c r="K205" s="15" t="str">
        <x:v>Female / Romance</x:v>
      </x:c>
      <x:c r="L205" s="15" t="str">
        <x:v>Werewolf / Alpha Stepbrother / Marked Mate</x:v>
      </x:c>
      <x:c r="M205" s="15" t="str">
        <x:v>High-status partner/authority</x:v>
      </x:c>
      <x:c r="N205" s="15" t="str">
        <x:v>강한 케미·보호/소유 신호를 주되 감정 확정은 지연</x:v>
      </x:c>
      <x:c r="O205" s="15" t="str">
        <x:v>Medium-High: 압도적 외모·의상·공간 미감으로 실사형 보상 강화</x:v>
      </x:c>
      <x:c r="P205" s="15" t="str">
        <x:v>stepbrother alpha에게 mark되는 werewolf taboo romance.</x:v>
      </x:c>
      <x:c r="Q205" s="15" t="str">
        <x:v>Melolo says clips flooded TikTok, Instagram, Facebook.</x:v>
      </x:c>
      <x:c r="R205" s="15" t="str">
        <x:v>Release 2026-03-25; social flood claim.</x:v>
      </x:c>
      <x:c r="S205" s="15" t="str">
        <x:v>B / Useful verified</x:v>
      </x:c>
      <x:c r="T205" s="18" t="n">
        <x:v>78</x:v>
      </x:c>
      <x:c r="U205" s="15" t="str">
        <x:v>B_Strong</x:v>
      </x:c>
      <x:c r="V205" s="15" t="str">
        <x:v>KEEP</x:v>
      </x:c>
      <x:c r="W205" s="15" t="str"/>
      <x:c r="X205" s="15" t="str"/>
      <x:c r="Y205" s="15" t="str">
        <x:v>https://melolo.com/guides/marked-by-my-alpha-stepbrother</x:v>
      </x:c>
      <x:c r="Z205" s="15" t="str"/>
    </x:row>
    <x:row r="206">
      <x:c r="A206" s="15" t="str">
        <x:v>L0205</x:v>
      </x:c>
      <x:c r="B206" s="15" t="str">
        <x:v>2026-02</x:v>
      </x:c>
      <x:c r="C206" s="15" t="str">
        <x:v>DramaWave</x:v>
      </x:c>
      <x:c r="D206" s="15" t="str">
        <x:v>Base_XLSX</x:v>
      </x:c>
      <x:c r="E206" s="15" t="n">
        <x:v>5</x:v>
      </x:c>
      <x:c r="F206" s="15" t="str">
        <x:v>Base only</x:v>
      </x:c>
      <x:c r="G206" s="15" t="str">
        <x:v>Delta Force Queen Returns</x:v>
      </x:c>
      <x:c r="H206" s="15" t="str">
        <x:v>Delta Force Queen Returns</x:v>
      </x:c>
      <x:c r="I206" s="15" t="str">
        <x:v>Live-action; AIGC not flagged</x:v>
      </x:c>
      <x:c r="J206" s="15" t="str">
        <x:v>Not flagged</x:v>
      </x:c>
      <x:c r="K206" s="15" t="str">
        <x:v>Female / Revenge-SFL</x:v>
      </x:c>
      <x:c r="L206" s="15" t="str">
        <x:v>Military SFL / Identity Theft / Public Restoration</x:v>
      </x:c>
      <x:c r="M206" s="15" t="str">
        <x:v>Revenge/regret payoff</x:v>
      </x:c>
      <x:c r="N206" s="15" t="str">
        <x:v>정체/권력 공개 직전까지 결핍·오해를 누적</x:v>
      </x:c>
      <x:c r="O206" s="15" t="str">
        <x:v>Medium: 광고 컷·후킹 이미지 보강용</x:v>
      </x:c>
      <x:c r="P206" s="15" t="str">
        <x:v>전직 Delta Force Bella가 남편과 impostor에게 군 경력/정체를 도둑맞고 공개 복수.</x:v>
      </x:c>
      <x:c r="Q206" s="15" t="str">
        <x:v>Melolo says significant buzz across short drama platforms.</x:v>
      </x:c>
      <x:c r="R206" s="15" t="str">
        <x:v>Premiere 2026-03-12; buzz signal.</x:v>
      </x:c>
      <x:c r="S206" s="15" t="str">
        <x:v>B / Useful verified</x:v>
      </x:c>
      <x:c r="T206" s="18" t="n">
        <x:v>78</x:v>
      </x:c>
      <x:c r="U206" s="15" t="str">
        <x:v>B_Strong</x:v>
      </x:c>
      <x:c r="V206" s="15" t="str">
        <x:v>KEEP</x:v>
      </x:c>
      <x:c r="W206" s="15" t="str"/>
      <x:c r="X206" s="15" t="str"/>
      <x:c r="Y206" s="15" t="str">
        <x:v>https://melolo.com/guides/delta-force-queen-returns-drama</x:v>
      </x:c>
      <x:c r="Z206" s="15" t="str"/>
    </x:row>
    <x:row r="207">
      <x:c r="A207" s="15" t="str">
        <x:v>L0206</x:v>
      </x:c>
      <x:c r="B207" s="15" t="str">
        <x:v>2026-03</x:v>
      </x:c>
      <x:c r="C207" s="15" t="str">
        <x:v>DramaWave</x:v>
      </x:c>
      <x:c r="D207" s="15" t="str">
        <x:v>Base_XLSX</x:v>
      </x:c>
      <x:c r="E207" s="15" t="n">
        <x:v>1</x:v>
      </x:c>
      <x:c r="F207" s="15" t="str">
        <x:v>Base only</x:v>
      </x:c>
      <x:c r="G207" s="15" t="str">
        <x:v>Delta Force Queen Returns</x:v>
      </x:c>
      <x:c r="H207" s="15" t="str">
        <x:v>Delta Force Queen Returns</x:v>
      </x:c>
      <x:c r="I207" s="15" t="str">
        <x:v>Live-action; AIGC not flagged</x:v>
      </x:c>
      <x:c r="J207" s="15" t="str">
        <x:v>Not flagged</x:v>
      </x:c>
      <x:c r="K207" s="15" t="str">
        <x:v>Female / Revenge-SFL</x:v>
      </x:c>
      <x:c r="L207" s="15" t="str">
        <x:v>Military Revenge / Stolen Identity / Strong Female Lead</x:v>
      </x:c>
      <x:c r="M207" s="15" t="str">
        <x:v>Revenge/regret payoff</x:v>
      </x:c>
      <x:c r="N207" s="15" t="str">
        <x:v>정체/권력 공개 직전까지 결핍·오해를 누적</x:v>
      </x:c>
      <x:c r="O207" s="15" t="str">
        <x:v>Medium: 광고 컷·후킹 이미지 보강용</x:v>
      </x:c>
      <x:c r="P207" s="15" t="str">
        <x:v>군 명예를 도둑맞은 여성이 증거를 모아 군 행사에서 진짜 정체를 회복.</x:v>
      </x:c>
      <x:c r="Q207" s="15" t="str">
        <x:v>Guide highlights identity-heist hook and platform buzz.</x:v>
      </x:c>
      <x:c r="R207" s="15" t="str">
        <x:v>Premiered 2026-03-12.</x:v>
      </x:c>
      <x:c r="S207" s="15" t="str">
        <x:v>B / Useful verified</x:v>
      </x:c>
      <x:c r="T207" s="18" t="n">
        <x:v>78</x:v>
      </x:c>
      <x:c r="U207" s="15" t="str">
        <x:v>B_Strong</x:v>
      </x:c>
      <x:c r="V207" s="15" t="str">
        <x:v>KEEP</x:v>
      </x:c>
      <x:c r="W207" s="15" t="str"/>
      <x:c r="X207" s="15" t="str"/>
      <x:c r="Y207" s="15" t="str">
        <x:v>https://melolo.com/guides/delta-force-queen-returns-drama</x:v>
      </x:c>
      <x:c r="Z207" s="15" t="str"/>
    </x:row>
    <x:row r="208">
      <x:c r="A208" s="15" t="str">
        <x:v>L0207</x:v>
      </x:c>
      <x:c r="B208" s="15" t="str">
        <x:v>2026-03</x:v>
      </x:c>
      <x:c r="C208" s="15" t="str">
        <x:v>DramaWave</x:v>
      </x:c>
      <x:c r="D208" s="15" t="str">
        <x:v>Base_XLSX</x:v>
      </x:c>
      <x:c r="E208" s="15" t="n">
        <x:v>2</x:v>
      </x:c>
      <x:c r="F208" s="15" t="str">
        <x:v>Base only</x:v>
      </x:c>
      <x:c r="G208" s="15" t="str">
        <x:v>Traded to the Shadow Heir</x:v>
      </x:c>
      <x:c r="H208" s="15" t="str">
        <x:v>Traded to the Shadow Heir</x:v>
      </x:c>
      <x:c r="I208" s="15" t="str">
        <x:v>Live-action; AIGC not flagged</x:v>
      </x:c>
      <x:c r="J208" s="15" t="str">
        <x:v>Not flagged</x:v>
      </x:c>
      <x:c r="K208" s="15" t="str">
        <x:v>Female / Romance</x:v>
      </x:c>
      <x:c r="L208" s="15" t="str">
        <x:v>Mafia / Betrayed Fiancée / Hidden Heir / Nine-Year Love</x:v>
      </x:c>
      <x:c r="M208" s="15" t="str">
        <x:v>Hidden-identity reveal + Revenge/regret payoff + High-status partner/authority</x:v>
      </x:c>
      <x:c r="N208" s="15" t="str">
        <x:v>정체/권력 공개 직전까지 결핍·오해를 누적</x:v>
      </x:c>
      <x:c r="O208" s="15" t="str">
        <x:v>Medium-High: 압도적 외모·의상·공간 미감으로 실사형 보상 강화</x:v>
      </x:c>
      <x:c r="P208" s="15" t="str">
        <x:v>신뢰한 약혼자에게 마피아 보스에게 넘겨진 여주가 shadow heir의 보호를 받음.</x:v>
      </x:c>
      <x:c r="Q208" s="15" t="str">
        <x:v>Melolo says viral on social feeds; Reddit/free-watch thread active.</x:v>
      </x:c>
      <x:c r="R208" s="15" t="str">
        <x:v>Released 2026-03-26.</x:v>
      </x:c>
      <x:c r="S208" s="15" t="str">
        <x:v>B / Useful verified</x:v>
      </x:c>
      <x:c r="T208" s="18" t="n">
        <x:v>80</x:v>
      </x:c>
      <x:c r="U208" s="15" t="str">
        <x:v>B_Strong</x:v>
      </x:c>
      <x:c r="V208" s="15" t="str">
        <x:v>KEEP</x:v>
      </x:c>
      <x:c r="W208" s="15" t="str"/>
      <x:c r="X208" s="15" t="str"/>
      <x:c r="Y208" s="15" t="str">
        <x:v>https://melolo.com/guides/traded-to-the-shadow-heir | https://www.reddit.com/r/Askshortdramas/comments/1s3zlcs/traded_to_the_shadow_heir_short_drama/</x:v>
      </x:c>
      <x:c r="Z208" s="15" t="str"/>
    </x:row>
    <x:row r="209">
      <x:c r="A209" s="15" t="str">
        <x:v>L0208</x:v>
      </x:c>
      <x:c r="B209" s="15" t="str">
        <x:v>2026-03</x:v>
      </x:c>
      <x:c r="C209" s="15" t="str">
        <x:v>DramaWave</x:v>
      </x:c>
      <x:c r="D209" s="15" t="str">
        <x:v>Base_XLSX</x:v>
      </x:c>
      <x:c r="E209" s="15" t="n">
        <x:v>3</x:v>
      </x:c>
      <x:c r="F209" s="15" t="str">
        <x:v>Base only</x:v>
      </x:c>
      <x:c r="G209" s="15" t="str">
        <x:v>Marked by My Alpha Stepbrother</x:v>
      </x:c>
      <x:c r="H209" s="15" t="str">
        <x:v>Marked by My Alpha Stepbrother</x:v>
      </x:c>
      <x:c r="I209" s="15" t="str">
        <x:v>Live-action; AIGC not flagged</x:v>
      </x:c>
      <x:c r="J209" s="15" t="str">
        <x:v>Not flagged</x:v>
      </x:c>
      <x:c r="K209" s="15" t="str">
        <x:v>Female / Romance</x:v>
      </x:c>
      <x:c r="L209" s="15" t="str">
        <x:v>Werewolf / Stepbrother / Alpha / Mate Mark</x:v>
      </x:c>
      <x:c r="M209" s="15" t="str">
        <x:v>High-status partner/authority</x:v>
      </x:c>
      <x:c r="N209" s="15" t="str">
        <x:v>강한 케미·보호/소유 신호를 주되 감정 확정은 지연</x:v>
      </x:c>
      <x:c r="O209" s="15" t="str">
        <x:v>Medium-High: 압도적 외모·의상·공간 미감으로 실사형 보상 강화</x:v>
      </x:c>
      <x:c r="P209" s="15" t="str">
        <x:v>stepbrother alpha와 금기/메이트 마킹 갈등.</x:v>
      </x:c>
      <x:c r="Q209" s="15" t="str">
        <x:v>Melolo says clips flooded TikTok, Instagram, Facebook.</x:v>
      </x:c>
      <x:c r="R209" s="15" t="str">
        <x:v>Released 2026-03-25.</x:v>
      </x:c>
      <x:c r="S209" s="15" t="str">
        <x:v>B / Useful verified</x:v>
      </x:c>
      <x:c r="T209" s="18" t="n">
        <x:v>78</x:v>
      </x:c>
      <x:c r="U209" s="15" t="str">
        <x:v>B_Strong</x:v>
      </x:c>
      <x:c r="V209" s="15" t="str">
        <x:v>KEEP</x:v>
      </x:c>
      <x:c r="W209" s="15" t="str"/>
      <x:c r="X209" s="15" t="str"/>
      <x:c r="Y209" s="15" t="str">
        <x:v>https://melolo.com/guides/marked-by-my-alpha-stepbrother</x:v>
      </x:c>
      <x:c r="Z209" s="15" t="str"/>
    </x:row>
    <x:row r="210">
      <x:c r="A210" s="15" t="str">
        <x:v>L0209</x:v>
      </x:c>
      <x:c r="B210" s="15" t="str">
        <x:v>2026-03</x:v>
      </x:c>
      <x:c r="C210" s="15" t="str">
        <x:v>DramaWave</x:v>
      </x:c>
      <x:c r="D210" s="15" t="str">
        <x:v>Base_XLSX</x:v>
      </x:c>
      <x:c r="E210" s="15" t="n">
        <x:v>4</x:v>
      </x:c>
      <x:c r="F210" s="15" t="str">
        <x:v>Base only</x:v>
      </x:c>
      <x:c r="G210" s="15" t="str">
        <x:v>Pucked by My Hockey Rival</x:v>
      </x:c>
      <x:c r="H210" s="15" t="str">
        <x:v>Pucked by My Hockey Rival</x:v>
      </x:c>
      <x:c r="I210" s="15" t="str">
        <x:v>Live-action; AIGC not flagged</x:v>
      </x:c>
      <x:c r="J210" s="15" t="str">
        <x:v>Not flagged</x:v>
      </x:c>
      <x:c r="K210" s="15" t="str">
        <x:v>Female / Romance</x:v>
      </x:c>
      <x:c r="L210" s="15" t="str">
        <x:v>BL / Hockey Rival / Sports Romance</x:v>
      </x:c>
      <x:c r="M210" s="15" t="str">
        <x:v>Campus/sports heat</x:v>
      </x:c>
      <x:c r="N210" s="15" t="str">
        <x:v>강한 케미·보호/소유 신호를 주되 감정 확정은 지연</x:v>
      </x:c>
      <x:c r="O210" s="15" t="str">
        <x:v>Medium-High: 압도적 외모·의상·공간 미감으로 실사형 보상 강화</x:v>
      </x:c>
      <x:c r="P210" s="15" t="str">
        <x:v>라이벌 하키 캡틴과 오해로 시작한 BL 로맨스.</x:v>
      </x:c>
      <x:c r="Q210" s="15" t="str">
        <x:v>Official pages + Melolo guide signal.</x:v>
      </x:c>
      <x:c r="R210" s="15" t="str">
        <x:v>2026 LGBTQ+ short drama.</x:v>
      </x:c>
      <x:c r="S210" s="15" t="str">
        <x:v>B / Useful verified</x:v>
      </x:c>
      <x:c r="T210" s="18" t="n">
        <x:v>78</x:v>
      </x:c>
      <x:c r="U210" s="15" t="str">
        <x:v>B_Strong</x:v>
      </x:c>
      <x:c r="V210" s="15" t="str">
        <x:v>KEEP</x:v>
      </x:c>
      <x:c r="W210" s="15" t="str"/>
      <x:c r="X210" s="15" t="str"/>
      <x:c r="Y210" s="15" t="str">
        <x:v>https://melolo.com/guides/pucked-by-my-hockey-rival</x:v>
      </x:c>
      <x:c r="Z210" s="15" t="str"/>
    </x:row>
    <x:row r="211">
      <x:c r="A211" s="15" t="str">
        <x:v>L0210</x:v>
      </x:c>
      <x:c r="B211" s="15" t="str">
        <x:v>2026-03</x:v>
      </x:c>
      <x:c r="C211" s="15" t="str">
        <x:v>DramaWave</x:v>
      </x:c>
      <x:c r="D211" s="15" t="str">
        <x:v>Base_XLSX</x:v>
      </x:c>
      <x:c r="E211" s="15" t="n">
        <x:v>5</x:v>
      </x:c>
      <x:c r="F211" s="15" t="str">
        <x:v>Base only</x:v>
      </x:c>
      <x:c r="G211" s="15" t="str">
        <x:v>When the Moon Hides Crown</x:v>
      </x:c>
      <x:c r="H211" s="15" t="str">
        <x:v>When the Moon Hides Crown</x:v>
      </x:c>
      <x:c r="I211" s="15" t="str">
        <x:v>Explicit AI-generated drama</x:v>
      </x:c>
      <x:c r="J211" s="15" t="str">
        <x:v>Direct/Explicit AI</x:v>
      </x:c>
      <x:c r="K211" s="15" t="str">
        <x:v>Mixed / General</x:v>
      </x:c>
      <x:c r="L211" s="15" t="str">
        <x:v>AI-generated / Werewolf Academy / Disguise</x:v>
      </x:c>
      <x:c r="M211" s="15" t="str">
        <x:v>Core melodrama hook</x:v>
      </x:c>
      <x:c r="N211" s="15" t="str">
        <x:v>무료부에서는 결핍과 예고, 유료부에서는 보상/진실/역전</x:v>
      </x:c>
      <x:c r="O211" s="15" t="str">
        <x:v>High: VFX·세계관·시스템 UI·비현실 스케일을 직접 보상화</x:v>
      </x:c>
      <x:c r="P211" s="15" t="str">
        <x:v>남장 여주/werewolf academy/왕관 운명 판타지.</x:v>
      </x:c>
      <x:c r="Q211" s="15" t="str">
        <x:v>Melolo confirms AI visuals and voice.</x:v>
      </x:c>
      <x:c r="R211" s="15" t="str">
        <x:v>AIGC reference title.</x:v>
      </x:c>
      <x:c r="S211" s="15" t="str">
        <x:v>B / Useful verified</x:v>
      </x:c>
      <x:c r="T211" s="18" t="n">
        <x:v>78</x:v>
      </x:c>
      <x:c r="U211" s="15" t="str">
        <x:v>B_Strong</x:v>
      </x:c>
      <x:c r="V211" s="15" t="str">
        <x:v>KEEP</x:v>
      </x:c>
      <x:c r="W211" s="15" t="str"/>
      <x:c r="X211" s="15" t="str"/>
      <x:c r="Y211" s="15" t="str">
        <x:v>https://melolo.com/dramas/when-the-moon-hides-crown</x:v>
      </x:c>
      <x:c r="Z211" s="15" t="str"/>
    </x:row>
    <x:row r="212">
      <x:c r="A212" s="15" t="str">
        <x:v>L0211</x:v>
      </x:c>
      <x:c r="B212" s="15" t="str">
        <x:v>2026-04</x:v>
      </x:c>
      <x:c r="C212" s="15" t="str">
        <x:v>DramaWave</x:v>
      </x:c>
      <x:c r="D212" s="15" t="str">
        <x:v>Base_XLSX</x:v>
      </x:c>
      <x:c r="E212" s="15" t="n">
        <x:v>1</x:v>
      </x:c>
      <x:c r="F212" s="15" t="str">
        <x:v>Base only</x:v>
      </x:c>
      <x:c r="G212" s="15" t="str">
        <x:v>Never Break A Queen’s Heart</x:v>
      </x:c>
      <x:c r="H212" s="15" t="str">
        <x:v>Never Break A Queen’s Heart</x:v>
      </x:c>
      <x:c r="I212" s="15" t="str">
        <x:v>Live-action; AIGC not flagged</x:v>
      </x:c>
      <x:c r="J212" s="15" t="str">
        <x:v>Not flagged</x:v>
      </x:c>
      <x:c r="K212" s="15" t="str">
        <x:v>Female / Romance</x:v>
      </x:c>
      <x:c r="L212" s="15" t="str">
        <x:v>Secret Heiress / Cheating Husband / Aviation Revenge</x:v>
      </x:c>
      <x:c r="M212" s="15" t="str">
        <x:v>Hidden-identity reveal + Revenge/regret payoff</x:v>
      </x:c>
      <x:c r="N212" s="15" t="str">
        <x:v>정체/권력 공개 직전까지 결핍·오해를 누적</x:v>
      </x:c>
      <x:c r="O212" s="15" t="str">
        <x:v>Medium: 광고 컷·후킹 이미지 보강용</x:v>
      </x:c>
      <x:c r="P212" s="15" t="str">
        <x:v>비밀 항공 상속녀 Chloe가 불륜 남편 Trevor의 커리어를 무너뜨림.</x:v>
      </x:c>
      <x:c r="Q212" s="15" t="str">
        <x:v>Guide says available on DramaWave/Dailymotion/YouTube; 20-25 eps.</x:v>
      </x:c>
      <x:c r="R212" s="15" t="str">
        <x:v>Guide published 2026-04-10.</x:v>
      </x:c>
      <x:c r="S212" s="15" t="str">
        <x:v>B / Useful verified</x:v>
      </x:c>
      <x:c r="T212" s="18" t="n">
        <x:v>78</x:v>
      </x:c>
      <x:c r="U212" s="15" t="str">
        <x:v>B_Strong</x:v>
      </x:c>
      <x:c r="V212" s="15" t="str">
        <x:v>KEEP</x:v>
      </x:c>
      <x:c r="W212" s="15" t="str"/>
      <x:c r="X212" s="15" t="str"/>
      <x:c r="Y212" s="15" t="str">
        <x:v>https://melolo.com/guides/never-break-a-queens-heart</x:v>
      </x:c>
      <x:c r="Z212" s="15" t="str"/>
    </x:row>
    <x:row r="213">
      <x:c r="A213" s="15" t="str">
        <x:v>L0212</x:v>
      </x:c>
      <x:c r="B213" s="15" t="str">
        <x:v>2026-04</x:v>
      </x:c>
      <x:c r="C213" s="15" t="str">
        <x:v>DramaWave</x:v>
      </x:c>
      <x:c r="D213" s="15" t="str">
        <x:v>Base_XLSX</x:v>
      </x:c>
      <x:c r="E213" s="15" t="n">
        <x:v>2</x:v>
      </x:c>
      <x:c r="F213" s="15" t="str">
        <x:v>Base only</x:v>
      </x:c>
      <x:c r="G213" s="15" t="str">
        <x:v>Contract Marriage with the Arms Tycoon</x:v>
      </x:c>
      <x:c r="H213" s="15" t="str">
        <x:v>Contract Marriage with the Arms Tycoon</x:v>
      </x:c>
      <x:c r="I213" s="15" t="str">
        <x:v>Live-action; AIGC not flagged</x:v>
      </x:c>
      <x:c r="J213" s="15" t="str">
        <x:v>Not flagged</x:v>
      </x:c>
      <x:c r="K213" s="15" t="str">
        <x:v>Female / Romance</x:v>
      </x:c>
      <x:c r="L213" s="15" t="str">
        <x:v>Arms Tycoon / Contract Marriage / High-Stakes Romance</x:v>
      </x:c>
      <x:c r="M213" s="15" t="str">
        <x:v>High-status partner/authority</x:v>
      </x:c>
      <x:c r="N213" s="15" t="str">
        <x:v>무료부에서는 결핍과 예고, 유료부에서는 보상/진실/역전</x:v>
      </x:c>
      <x:c r="O213" s="15" t="str">
        <x:v>Medium: 광고 컷·후킹 이미지 보강용</x:v>
      </x:c>
      <x:c r="P213" s="15" t="str">
        <x:v>무기 재벌과 계약 결혼으로 위험/권력/로맨스가 결합.</x:v>
      </x:c>
      <x:c r="Q213" s="15" t="str">
        <x:v>Guide says early episodes free, later coins/monthly.</x:v>
      </x:c>
      <x:c r="R213" s="15" t="str">
        <x:v>Published 2026-04-03.</x:v>
      </x:c>
      <x:c r="S213" s="15" t="str">
        <x:v>B / Useful verified</x:v>
      </x:c>
      <x:c r="T213" s="18" t="n">
        <x:v>78</x:v>
      </x:c>
      <x:c r="U213" s="15" t="str">
        <x:v>B_Strong</x:v>
      </x:c>
      <x:c r="V213" s="15" t="str">
        <x:v>KEEP</x:v>
      </x:c>
      <x:c r="W213" s="15" t="str"/>
      <x:c r="X213" s="15" t="str"/>
      <x:c r="Y213" s="15" t="str">
        <x:v>https://melolo.com/guides/contract-marriage-with-the-arms-tycoon</x:v>
      </x:c>
      <x:c r="Z213" s="15" t="str"/>
    </x:row>
    <x:row r="214">
      <x:c r="A214" s="15" t="str">
        <x:v>L0213</x:v>
      </x:c>
      <x:c r="B214" s="15" t="str">
        <x:v>2026-04</x:v>
      </x:c>
      <x:c r="C214" s="15" t="str">
        <x:v>DramaWave</x:v>
      </x:c>
      <x:c r="D214" s="15" t="str">
        <x:v>Base_XLSX</x:v>
      </x:c>
      <x:c r="E214" s="15" t="n">
        <x:v>3</x:v>
      </x:c>
      <x:c r="F214" s="15" t="str">
        <x:v>Base only</x:v>
      </x:c>
      <x:c r="G214" s="15" t="str">
        <x:v>Taming My Enemy Hockey Captain</x:v>
      </x:c>
      <x:c r="H214" s="15" t="str">
        <x:v>Taming My Enemy Hockey Captain</x:v>
      </x:c>
      <x:c r="I214" s="15" t="str">
        <x:v>Live-action; AIGC not flagged</x:v>
      </x:c>
      <x:c r="J214" s="15" t="str">
        <x:v>Not flagged</x:v>
      </x:c>
      <x:c r="K214" s="15" t="str">
        <x:v>Female / Romance</x:v>
      </x:c>
      <x:c r="L214" s="15" t="str">
        <x:v>Hockey Captain / Fake Date / Enemy-to-Lover</x:v>
      </x:c>
      <x:c r="M214" s="15" t="str">
        <x:v>Campus/sports heat</x:v>
      </x:c>
      <x:c r="N214" s="15" t="str">
        <x:v>강한 케미·보호/소유 신호를 주되 감정 확정은 지연</x:v>
      </x:c>
      <x:c r="O214" s="15" t="str">
        <x:v>Medium-High: 압도적 외모·의상·공간 미감으로 실사형 보상 강화</x:v>
      </x:c>
      <x:c r="P214" s="15" t="str">
        <x:v>spiked soda 이후 가짜 데이트/묻힌 짝사랑으로 하키 적대가 로맨스로 변함.</x:v>
      </x:c>
      <x:c r="Q214" s="15" t="str">
        <x:v>Melolo guide confirms DramaWave availability.</x:v>
      </x:c>
      <x:c r="R214" s="15" t="str">
        <x:v>Published 2026-04-14.</x:v>
      </x:c>
      <x:c r="S214" s="15" t="str">
        <x:v>B / Useful verified</x:v>
      </x:c>
      <x:c r="T214" s="18" t="n">
        <x:v>78</x:v>
      </x:c>
      <x:c r="U214" s="15" t="str">
        <x:v>B_Strong</x:v>
      </x:c>
      <x:c r="V214" s="15" t="str">
        <x:v>KEEP</x:v>
      </x:c>
      <x:c r="W214" s="15" t="str"/>
      <x:c r="X214" s="15" t="str"/>
      <x:c r="Y214" s="15" t="str">
        <x:v>https://melolo.com/guides/taming-my-enemy-hockey-captain</x:v>
      </x:c>
      <x:c r="Z214" s="15" t="str"/>
    </x:row>
    <x:row r="215">
      <x:c r="A215" s="15" t="str">
        <x:v>L0214</x:v>
      </x:c>
      <x:c r="B215" s="15" t="str">
        <x:v>2026-04</x:v>
      </x:c>
      <x:c r="C215" s="15" t="str">
        <x:v>DramaWave</x:v>
      </x:c>
      <x:c r="D215" s="15" t="str">
        <x:v>Base_XLSX</x:v>
      </x:c>
      <x:c r="E215" s="15" t="n">
        <x:v>4</x:v>
      </x:c>
      <x:c r="F215" s="15" t="str">
        <x:v>Base only</x:v>
      </x:c>
      <x:c r="G215" s="15" t="str">
        <x:v>The Mafia Boss's Regret</x:v>
      </x:c>
      <x:c r="H215" s="15" t="str">
        <x:v>The Mafia Boss's Regret</x:v>
      </x:c>
      <x:c r="I215" s="15" t="str">
        <x:v>Live-action; AIGC not flagged</x:v>
      </x:c>
      <x:c r="J215" s="15" t="str">
        <x:v>Not flagged</x:v>
      </x:c>
      <x:c r="K215" s="15" t="str">
        <x:v>Female / Romance</x:v>
      </x:c>
      <x:c r="L215" s="15" t="str">
        <x:v>Mafia Boss / Regret / Revenge Romance</x:v>
      </x:c>
      <x:c r="M215" s="15" t="str">
        <x:v>Revenge/regret payoff + High-status partner/authority + Progression/spectacle</x:v>
      </x:c>
      <x:c r="N215" s="15" t="str">
        <x:v>굴욕/배신 후 첫 반격을 예고하고 본격 응징은 지연</x:v>
      </x:c>
      <x:c r="O215" s="15" t="str">
        <x:v>High: VFX·세계관·시스템 UI·비현실 스케일을 직접 보상화</x:v>
      </x:c>
      <x:c r="P215" s="15" t="str">
        <x:v>배신당하고 떠난 여성을 마피아 보스가 뒤늦게 쫓는 regret/revenge romance.</x:v>
      </x:c>
      <x:c r="Q215" s="15" t="str">
        <x:v>Melolo related recommendation; Facebook clip signal.</x:v>
      </x:c>
      <x:c r="R215" s="15" t="str">
        <x:v>Apr 2026 social signal.</x:v>
      </x:c>
      <x:c r="S215" s="15" t="str">
        <x:v>C / Watch</x:v>
      </x:c>
      <x:c r="T215" s="18" t="n">
        <x:v>67</x:v>
      </x:c>
      <x:c r="U215" s="15" t="str">
        <x:v>C_Watch</x:v>
      </x:c>
      <x:c r="V215" s="15" t="str">
        <x:v>WATCH_REPLACE</x:v>
      </x:c>
      <x:c r="W215" s="15" t="str">
        <x:v>Baby Daddy at the Front Desk; Attribute Seizer: Undead Overlord</x:v>
      </x:c>
      <x:c r="X215" s="15" t="str">
        <x:v>현행 medium 하위 슬롯. 보강자료 증거 강도에 따라 교체 가능.</x:v>
      </x:c>
      <x:c r="Y215" s="15" t="str">
        <x:v>https://melolo.com/guides/delta-force-queen-returns-drama | https://www.instagram.com/p/DM3gGS1M9fh/</x:v>
      </x:c>
      <x:c r="Z215" s="15" t="str">
        <x:v>공식 성과/광고 집행량 재확인.</x:v>
      </x:c>
    </x:row>
    <x:row r="216">
      <x:c r="A216" s="15" t="str">
        <x:v>L0215</x:v>
      </x:c>
      <x:c r="B216" s="15" t="str">
        <x:v>2026-04</x:v>
      </x:c>
      <x:c r="C216" s="15" t="str">
        <x:v>DramaWave</x:v>
      </x:c>
      <x:c r="D216" s="15" t="str">
        <x:v>Base_XLSX</x:v>
      </x:c>
      <x:c r="E216" s="15" t="n">
        <x:v>5</x:v>
      </x:c>
      <x:c r="F216" s="15" t="str">
        <x:v>Base only</x:v>
      </x:c>
      <x:c r="G216" s="15" t="str">
        <x:v>When the Moon Hides Crown</x:v>
      </x:c>
      <x:c r="H216" s="15" t="str">
        <x:v>When the Moon Hides Crown</x:v>
      </x:c>
      <x:c r="I216" s="15" t="str">
        <x:v>Explicit AI-generated drama</x:v>
      </x:c>
      <x:c r="J216" s="15" t="str">
        <x:v>Direct/Explicit AI</x:v>
      </x:c>
      <x:c r="K216" s="15" t="str">
        <x:v>Mixed / General</x:v>
      </x:c>
      <x:c r="L216" s="15" t="str">
        <x:v>AI-generated / Werewolf Academy</x:v>
      </x:c>
      <x:c r="M216" s="15" t="str">
        <x:v>Core melodrama hook</x:v>
      </x:c>
      <x:c r="N216" s="15" t="str">
        <x:v>무료부에서는 결핍과 예고, 유료부에서는 보상/진실/역전</x:v>
      </x:c>
      <x:c r="O216" s="15" t="str">
        <x:v>High: VFX·세계관·시스템 UI·비현실 스케일을 직접 보상화</x:v>
      </x:c>
      <x:c r="P216" s="15" t="str">
        <x:v>AIGC werewolf academy 타이틀로 지속 레퍼런스 가치.</x:v>
      </x:c>
      <x:c r="Q216" s="15" t="str">
        <x:v>AI visuals/voice confirmed.</x:v>
      </x:c>
      <x:c r="R216" s="15" t="str">
        <x:v>Ongoing AIGC title.</x:v>
      </x:c>
      <x:c r="S216" s="15" t="str">
        <x:v>B / Useful verified</x:v>
      </x:c>
      <x:c r="T216" s="18" t="n">
        <x:v>78</x:v>
      </x:c>
      <x:c r="U216" s="15" t="str">
        <x:v>B_Strong</x:v>
      </x:c>
      <x:c r="V216" s="15" t="str">
        <x:v>KEEP</x:v>
      </x:c>
      <x:c r="W216" s="15" t="str"/>
      <x:c r="X216" s="15" t="str"/>
      <x:c r="Y216" s="15" t="str">
        <x:v>https://melolo.com/dramas/when-the-moon-hides-crown | https://melolo.com/guides/ai-micro-dramas-global-expansion-melolo-southeast-asia</x:v>
      </x:c>
      <x:c r="Z216" s="15" t="str"/>
    </x:row>
    <x:row r="217">
      <x:c r="A217" s="15" t="str">
        <x:v>L0216</x:v>
      </x:c>
      <x:c r="B217" s="15" t="str">
        <x:v>2026-05</x:v>
      </x:c>
      <x:c r="C217" s="15" t="str">
        <x:v>DramaWave</x:v>
      </x:c>
      <x:c r="D217" s="15" t="str">
        <x:v>Base_XLSX</x:v>
      </x:c>
      <x:c r="E217" s="15" t="n">
        <x:v>1</x:v>
      </x:c>
      <x:c r="F217" s="15" t="str">
        <x:v>Base only</x:v>
      </x:c>
      <x:c r="G217" s="15" t="str">
        <x:v>Pucked by My Hockey Rival</x:v>
      </x:c>
      <x:c r="H217" s="15" t="str">
        <x:v>Pucked by My Hockey Rival</x:v>
      </x:c>
      <x:c r="I217" s="15" t="str">
        <x:v>Live-action; AIGC not flagged</x:v>
      </x:c>
      <x:c r="J217" s="15" t="str">
        <x:v>Not flagged</x:v>
      </x:c>
      <x:c r="K217" s="15" t="str">
        <x:v>Female / Romance</x:v>
      </x:c>
      <x:c r="L217" s="15" t="str">
        <x:v>BL / Hockey / Rivals</x:v>
      </x:c>
      <x:c r="M217" s="15" t="str">
        <x:v>Campus/sports heat</x:v>
      </x:c>
      <x:c r="N217" s="15" t="str">
        <x:v>강한 케미·보호/소유 신호를 주되 감정 확정은 지연</x:v>
      </x:c>
      <x:c r="O217" s="15" t="str">
        <x:v>Medium-High: 압도적 외모·의상·공간 미감으로 실사형 보상 강화</x:v>
      </x:c>
      <x:c r="P217" s="15" t="str">
        <x:v>라이벌 하키 선수의 러브레터 오해에서 BL 스포츠 로맨스가 전개.</x:v>
      </x:c>
      <x:c r="Q217" s="15" t="str">
        <x:v>Melolo May 2026 guide; official YouTube/Facebook pages.</x:v>
      </x:c>
      <x:c r="R217" s="15" t="str">
        <x:v>2026 LGBTQ+ short drama.</x:v>
      </x:c>
      <x:c r="S217" s="15" t="str">
        <x:v>B / Useful verified</x:v>
      </x:c>
      <x:c r="T217" s="18" t="n">
        <x:v>82</x:v>
      </x:c>
      <x:c r="U217" s="15" t="str">
        <x:v>B_Strong</x:v>
      </x:c>
      <x:c r="V217" s="15" t="str">
        <x:v>KEEP</x:v>
      </x:c>
      <x:c r="W217" s="15" t="str"/>
      <x:c r="X217" s="15" t="str"/>
      <x:c r="Y217" s="15" t="str">
        <x:v>https://melolo.com/guides/pucked-by-my-hockey-rival | https://www.facebook.com/61576333226158/videos/pucked-by-my-hockey-rival/1275966807648031/</x:v>
      </x:c>
      <x:c r="Z217" s="15" t="str"/>
    </x:row>
    <x:row r="218">
      <x:c r="A218" s="15" t="str">
        <x:v>L0217</x:v>
      </x:c>
      <x:c r="B218" s="15" t="str">
        <x:v>2026-05</x:v>
      </x:c>
      <x:c r="C218" s="15" t="str">
        <x:v>DramaWave</x:v>
      </x:c>
      <x:c r="D218" s="15" t="str">
        <x:v>Base_XLSX</x:v>
      </x:c>
      <x:c r="E218" s="15" t="n">
        <x:v>2</x:v>
      </x:c>
      <x:c r="F218" s="15" t="str">
        <x:v>Base only</x:v>
      </x:c>
      <x:c r="G218" s="15" t="str">
        <x:v>When the Moon Hides Crown</x:v>
      </x:c>
      <x:c r="H218" s="15" t="str">
        <x:v>When the Moon Hides Crown</x:v>
      </x:c>
      <x:c r="I218" s="15" t="str">
        <x:v>Explicit AI-generated drama</x:v>
      </x:c>
      <x:c r="J218" s="15" t="str">
        <x:v>Direct/Explicit AI</x:v>
      </x:c>
      <x:c r="K218" s="15" t="str">
        <x:v>Female / Romance</x:v>
      </x:c>
      <x:c r="L218" s="15" t="str">
        <x:v>AI-generated / Werewolf Academy / Female Disguise</x:v>
      </x:c>
      <x:c r="M218" s="15" t="str">
        <x:v>Core melodrama hook</x:v>
      </x:c>
      <x:c r="N218" s="15" t="str">
        <x:v>무료부에서는 결핍과 예고, 유료부에서는 보상/진실/역전</x:v>
      </x:c>
      <x:c r="O218" s="15" t="str">
        <x:v>High: VFX·세계관·시스템 UI·비현실 스케일을 직접 보상화</x:v>
      </x:c>
      <x:c r="P218" s="15" t="str">
        <x:v>AI visuals/voice 기반 werewolf academy disguise romance.</x:v>
      </x:c>
      <x:c r="Q218" s="15" t="str">
        <x:v>Guide explicitly calls it AI-generated DramaWave drama.</x:v>
      </x:c>
      <x:c r="R218" s="15" t="str">
        <x:v>Core AIGC reference.</x:v>
      </x:c>
      <x:c r="S218" s="15" t="str">
        <x:v>B / Useful verified</x:v>
      </x:c>
      <x:c r="T218" s="18" t="n">
        <x:v>78</x:v>
      </x:c>
      <x:c r="U218" s="15" t="str">
        <x:v>B_Strong</x:v>
      </x:c>
      <x:c r="V218" s="15" t="str">
        <x:v>KEEP</x:v>
      </x:c>
      <x:c r="W218" s="15" t="str"/>
      <x:c r="X218" s="15" t="str"/>
      <x:c r="Y218" s="15" t="str">
        <x:v>https://melolo.com/dramas/when-the-moon-hides-crown</x:v>
      </x:c>
      <x:c r="Z218" s="15" t="str"/>
    </x:row>
    <x:row r="219">
      <x:c r="A219" s="15" t="str">
        <x:v>L0218</x:v>
      </x:c>
      <x:c r="B219" s="15" t="str">
        <x:v>2026-05</x:v>
      </x:c>
      <x:c r="C219" s="15" t="str">
        <x:v>DramaWave</x:v>
      </x:c>
      <x:c r="D219" s="15" t="str">
        <x:v>Base_XLSX</x:v>
      </x:c>
      <x:c r="E219" s="15" t="n">
        <x:v>3</x:v>
      </x:c>
      <x:c r="F219" s="15" t="str">
        <x:v>Base only</x:v>
      </x:c>
      <x:c r="G219" s="15" t="str">
        <x:v>Traded to the Shadow Heir</x:v>
      </x:c>
      <x:c r="H219" s="15" t="str">
        <x:v>Traded to the Shadow Heir</x:v>
      </x:c>
      <x:c r="I219" s="15" t="str">
        <x:v>Live-action; AIGC not flagged</x:v>
      </x:c>
      <x:c r="J219" s="15" t="str">
        <x:v>Not flagged</x:v>
      </x:c>
      <x:c r="K219" s="15" t="str">
        <x:v>Female / Romance</x:v>
      </x:c>
      <x:c r="L219" s="15" t="str">
        <x:v>Mafia / Hidden Heir / Betrayal</x:v>
      </x:c>
      <x:c r="M219" s="15" t="str">
        <x:v>Hidden-identity reveal + Revenge/regret payoff + High-status partner/authority</x:v>
      </x:c>
      <x:c r="N219" s="15" t="str">
        <x:v>정체/권력 공개 직전까지 결핍·오해를 누적</x:v>
      </x:c>
      <x:c r="O219" s="15" t="str">
        <x:v>Medium-High: 압도적 외모·의상·공간 미감으로 실사형 보상 강화</x:v>
      </x:c>
      <x:c r="P219" s="15" t="str">
        <x:v>Daisy가 마피아 shadow heir에게 넘겨지고 보호/복수/로맨스가 폭발.</x:v>
      </x:c>
      <x:c r="Q219" s="15" t="str">
        <x:v>Reddit + social-feed viral claim.</x:v>
      </x:c>
      <x:c r="R219" s="15" t="str">
        <x:v>Sustained Reddit/social signal.</x:v>
      </x:c>
      <x:c r="S219" s="15" t="str">
        <x:v>B / Useful verified</x:v>
      </x:c>
      <x:c r="T219" s="18" t="n">
        <x:v>80</x:v>
      </x:c>
      <x:c r="U219" s="15" t="str">
        <x:v>B_Strong</x:v>
      </x:c>
      <x:c r="V219" s="15" t="str">
        <x:v>KEEP</x:v>
      </x:c>
      <x:c r="W219" s="15" t="str"/>
      <x:c r="X219" s="15" t="str"/>
      <x:c r="Y219" s="15" t="str">
        <x:v>https://melolo.com/guides/traded-to-the-shadow-heir | https://www.reddit.com/r/Askshortdramas/comments/1s3zlcs/traded_to_the_shadow_heir_short_drama/</x:v>
      </x:c>
      <x:c r="Z219" s="15" t="str"/>
    </x:row>
    <x:row r="220">
      <x:c r="A220" s="15" t="str">
        <x:v>L0219</x:v>
      </x:c>
      <x:c r="B220" s="15" t="str">
        <x:v>2026-05</x:v>
      </x:c>
      <x:c r="C220" s="15" t="str">
        <x:v>DramaWave</x:v>
      </x:c>
      <x:c r="D220" s="15" t="str">
        <x:v>Base_XLSX</x:v>
      </x:c>
      <x:c r="E220" s="15" t="n">
        <x:v>4</x:v>
      </x:c>
      <x:c r="F220" s="15" t="str">
        <x:v>Base only</x:v>
      </x:c>
      <x:c r="G220" s="15" t="str">
        <x:v>Never Break A Queen’s Heart</x:v>
      </x:c>
      <x:c r="H220" s="15" t="str">
        <x:v>Never Break A Queen’s Heart</x:v>
      </x:c>
      <x:c r="I220" s="15" t="str">
        <x:v>Live-action; AIGC not flagged</x:v>
      </x:c>
      <x:c r="J220" s="15" t="str">
        <x:v>Not flagged</x:v>
      </x:c>
      <x:c r="K220" s="15" t="str">
        <x:v>Female / Revenge-SFL</x:v>
      </x:c>
      <x:c r="L220" s="15" t="str">
        <x:v>Secret Heiress / Public Revenge</x:v>
      </x:c>
      <x:c r="M220" s="15" t="str">
        <x:v>Hidden-identity reveal + Revenge/regret payoff</x:v>
      </x:c>
      <x:c r="N220" s="15" t="str">
        <x:v>정체/권력 공개 직전까지 결핍·오해를 누적</x:v>
      </x:c>
      <x:c r="O220" s="15" t="str">
        <x:v>Medium: 광고 컷·후킹 이미지 보강용</x:v>
      </x:c>
      <x:c r="P220" s="15" t="str">
        <x:v>비밀 aviation heiress의 공개 폭로형 복수극.</x:v>
      </x:c>
      <x:c r="Q220" s="15" t="str">
        <x:v>Social clip 55K + guide signal.</x:v>
      </x:c>
      <x:c r="R220" s="15" t="str">
        <x:v>Sustained social/library candidate.</x:v>
      </x:c>
      <x:c r="S220" s="15" t="str">
        <x:v>B / Useful verified</x:v>
      </x:c>
      <x:c r="T220" s="18" t="n">
        <x:v>78</x:v>
      </x:c>
      <x:c r="U220" s="15" t="str">
        <x:v>B_Strong</x:v>
      </x:c>
      <x:c r="V220" s="15" t="str">
        <x:v>KEEP</x:v>
      </x:c>
      <x:c r="W220" s="15" t="str"/>
      <x:c r="X220" s="15" t="str"/>
      <x:c r="Y220" s="15" t="str">
        <x:v>https://melolo.com/guides/never-break-a-queens-heart</x:v>
      </x:c>
      <x:c r="Z220" s="15" t="str"/>
    </x:row>
    <x:row r="221">
      <x:c r="A221" s="15" t="str">
        <x:v>L0220</x:v>
      </x:c>
      <x:c r="B221" s="15" t="str">
        <x:v>2026-05</x:v>
      </x:c>
      <x:c r="C221" s="15" t="str">
        <x:v>DramaWave</x:v>
      </x:c>
      <x:c r="D221" s="15" t="str">
        <x:v>Base_XLSX</x:v>
      </x:c>
      <x:c r="E221" s="15" t="n">
        <x:v>5</x:v>
      </x:c>
      <x:c r="F221" s="15" t="str">
        <x:v>Base only</x:v>
      </x:c>
      <x:c r="G221" s="15" t="str">
        <x:v>Delta Force Queen Returns</x:v>
      </x:c>
      <x:c r="H221" s="15" t="str">
        <x:v>Delta Force Queen Returns</x:v>
      </x:c>
      <x:c r="I221" s="15" t="str">
        <x:v>Live-action; AIGC not flagged</x:v>
      </x:c>
      <x:c r="J221" s="15" t="str">
        <x:v>Not flagged</x:v>
      </x:c>
      <x:c r="K221" s="15" t="str">
        <x:v>Female / Revenge-SFL</x:v>
      </x:c>
      <x:c r="L221" s="15" t="str">
        <x:v>Military SFL / Identity Theft / Revenge</x:v>
      </x:c>
      <x:c r="M221" s="15" t="str">
        <x:v>Revenge/regret payoff</x:v>
      </x:c>
      <x:c r="N221" s="15" t="str">
        <x:v>정체/권력 공개 직전까지 결핍·오해를 누적</x:v>
      </x:c>
      <x:c r="O221" s="15" t="str">
        <x:v>Medium: 광고 컷·후킹 이미지 보강용</x:v>
      </x:c>
      <x:c r="P221" s="15" t="str">
        <x:v>군 명예 도둑질/가짜 영웅/공개 복권을 결합한 여성향 competence revenge.</x:v>
      </x:c>
      <x:c r="Q221" s="15" t="str">
        <x:v>Guide says significant buzz across short drama platforms.</x:v>
      </x:c>
      <x:c r="R221" s="15" t="str">
        <x:v>Sustained buzz signal.</x:v>
      </x:c>
      <x:c r="S221" s="15" t="str">
        <x:v>B / Useful verified</x:v>
      </x:c>
      <x:c r="T221" s="18" t="n">
        <x:v>78</x:v>
      </x:c>
      <x:c r="U221" s="15" t="str">
        <x:v>B_Strong</x:v>
      </x:c>
      <x:c r="V221" s="15" t="str">
        <x:v>KEEP</x:v>
      </x:c>
      <x:c r="W221" s="15" t="str"/>
      <x:c r="X221" s="15" t="str"/>
      <x:c r="Y221" s="15" t="str">
        <x:v>https://melolo.com/guides/delta-force-queen-returns-drama</x:v>
      </x:c>
      <x:c r="Z221" s="15" t="str"/>
    </x:row>
    <x:row r="222">
      <x:c r="A222" s="15" t="str">
        <x:v>L0221</x:v>
      </x:c>
      <x:c r="B222" s="15" t="str">
        <x:v>2025-06</x:v>
      </x:c>
      <x:c r="C222" s="15" t="str">
        <x:v>ReelShort</x:v>
      </x:c>
      <x:c r="D222" s="15" t="str">
        <x:v>Supplement_DOCX</x:v>
      </x:c>
      <x:c r="E222" s="15" t="str">
        <x:v>S</x:v>
      </x:c>
      <x:c r="F222" s="15" t="str">
        <x:v>Not in base same month</x:v>
      </x:c>
      <x:c r="G222" s="15" t="str">
        <x:v>Love Given Wrong</x:v>
      </x:c>
      <x:c r="H222" s="15" t="str">
        <x:v>Love Given Wrong</x:v>
      </x:c>
      <x:c r="I222" s="15" t="str">
        <x:v>Supplement; AIGC flag parsed from title/logline</x:v>
      </x:c>
      <x:c r="J222" s="15" t="str">
        <x:v>Not flagged</x:v>
      </x:c>
      <x:c r="K222" s="15" t="str">
        <x:v>Female / Family-romance</x:v>
      </x:c>
      <x:c r="L222" s="15" t="str">
        <x:v>가족, 억울한 수감, 부녀 재회</x:v>
      </x:c>
      <x:c r="M222" s="15" t="str">
        <x:v>Child/family reunion</x:v>
      </x:c>
      <x:c r="N222" s="15" t="str">
        <x:v>무료부에서는 결핍과 예고, 유료부에서는 보상/진실/역전</x:v>
      </x:c>
      <x:c r="O222" s="15" t="str">
        <x:v>Medium: 아이/가족 감정은 직관화하되 섬세한 연기는 과신 금지</x:v>
      </x:c>
      <x:c r="P222" s="15" t="str">
        <x:v>제시가 감옥과 가정 파탄을 거친 뒤 딸과 사랑을 되찾으려는 가족 멜로. 태그: 가족, 억울한 수감, 부녀 재회.</x:v>
      </x:c>
      <x:c r="Q222" s="15" t="str">
        <x:v>보강자료 기반</x:v>
      </x:c>
      <x:c r="R222" s="15" t="str">
        <x:v>공개 커뮤니티 인용은 약하지만 ReelShort 검색에는 관련 토픽이 283건 노출된다. 추정 성과는 “중간 이상 검색형 장기작”.</x:v>
      </x:c>
      <x:c r="S222" s="15" t="str">
        <x:v>B / Useful verified</x:v>
      </x:c>
      <x:c r="T222" s="18" t="n">
        <x:v>73</x:v>
      </x:c>
      <x:c r="U222" s="15" t="str">
        <x:v>B_Strong</x:v>
      </x:c>
      <x:c r="V222" s="15" t="str">
        <x:v>ADD_AS_PARALLEL_REFERENCE</x:v>
      </x:c>
      <x:c r="W222" s="15" t="str"/>
      <x:c r="X222" s="15" t="str">
        <x:v>현행 시트에 없는 보강자료 후보. 완전 삭제형 교체보다 라이브러리 보강 행으로 추가하는 편이 안전.</x:v>
      </x:c>
      <x:c r="Y222" s="15" t="str">
        <x:v>https://www.reelshort.com/fandom/love-given-wrong-chinese-drama-dailymotion-8-aug/
https://www.reelshort.com/search?keywords=Love+Given+Wrong&amp;page=23&amp;type=topics</x:v>
      </x:c>
      <x:c r="Z222" s="15" t="str">
        <x:v>기존 슬롯 강제 교체 전, 공식 페이지/광고 라이브러리/조회수 재확인.</x:v>
      </x:c>
    </x:row>
    <x:row r="223">
      <x:c r="A223" s="15" t="str">
        <x:v>L0222</x:v>
      </x:c>
      <x:c r="B223" s="15" t="str">
        <x:v>2025-07</x:v>
      </x:c>
      <x:c r="C223" s="15" t="str">
        <x:v>ReelShort</x:v>
      </x:c>
      <x:c r="D223" s="15" t="str">
        <x:v>Supplement_DOCX</x:v>
      </x:c>
      <x:c r="E223" s="15" t="str">
        <x:v>S</x:v>
      </x:c>
      <x:c r="F223" s="15" t="str">
        <x:v>Not in base same month</x:v>
      </x:c>
      <x:c r="G223" s="15" t="str">
        <x:v>Fated to My Homeless Billionaire Alpha</x:v>
      </x:c>
      <x:c r="H223" s="15" t="str">
        <x:v>Fated to My Homeless Billionaire Alpha</x:v>
      </x:c>
      <x:c r="I223" s="15" t="str">
        <x:v>Supplement; AIGC flag parsed from title/logline</x:v>
      </x:c>
      <x:c r="J223" s="15" t="str">
        <x:v>Not flagged</x:v>
      </x:c>
      <x:c r="K223" s="15" t="str">
        <x:v>Female / Romance</x:v>
      </x:c>
      <x:c r="L223" s="15" t="str">
        <x:v>알파, 배신, 충동결혼, 재벌</x:v>
      </x:c>
      <x:c r="M223" s="15" t="str">
        <x:v>High-status partner/authority</x:v>
      </x:c>
      <x:c r="N223" s="15" t="str">
        <x:v>강한 케미·보호/소유 신호를 주되 감정 확정은 지연</x:v>
      </x:c>
      <x:c r="O223" s="15" t="str">
        <x:v>Medium: 광고 컷·후킹 이미지 보강용</x:v>
      </x:c>
      <x:c r="P223" s="15" t="str">
        <x:v>약혼자의 외도 직후, 엘라라가 노숙자로 위장한 억만장자 알파와 충동 결혼하는 운명 로맨스. 태그: 알파, 배신, 충동결혼, 재벌.</x:v>
      </x:c>
      <x:c r="Q223" s="15" t="str">
        <x:v>보강자료 기반</x:v>
      </x:c>
      <x:c r="R223" s="15" t="str">
        <x:v>ReelShort가 작품 페이지 계열에서 46M·380.5k를 노출했다. 시청자 커뮤니티는 무료 링크를 찾는 재유통 수요가 보였고, 장기 검색성이 강했다.</x:v>
      </x:c>
      <x:c r="S223" s="15" t="str">
        <x:v>A / Strong verified</x:v>
      </x:c>
      <x:c r="T223" s="18" t="n">
        <x:v>95</x:v>
      </x:c>
      <x:c r="U223" s="15" t="str">
        <x:v>A_Core</x:v>
      </x:c>
      <x:c r="V223" s="15" t="str">
        <x:v>ADD_AND_OPTIONALLY_REPLACE_WEAK_SLOT</x:v>
      </x:c>
      <x:c r="W223" s="15" t="str">
        <x:v>Vampire Seduction (rank 3, Low)</x:v>
      </x:c>
      <x:c r="X223" s="15" t="str">
        <x:v>동월 약한 슬롯 대체 가능. 다만 보강자료도 공식 월간 차트가 아니므로 최종 행에서는 추가형으로 보존.</x:v>
      </x:c>
      <x:c r="Y223" s="15" t="str">
        <x:v>https://www.reelshort.com/fandom/fated-to-my-homeless-billionaire-alpha-dailymotion-01-8/
https://www.reelshort.com/tags/story-beats/kekasih-takdir-movies-676d210f4582b53a14081afc/3</x:v>
      </x:c>
      <x:c r="Z223" s="15" t="str">
        <x:v>기존 슬롯 강제 교체 전, 공식 페이지/광고 라이브러리/조회수 재확인.</x:v>
      </x:c>
    </x:row>
    <x:row r="224">
      <x:c r="A224" s="15" t="str">
        <x:v>L0223</x:v>
      </x:c>
      <x:c r="B224" s="15" t="str">
        <x:v>2025-08</x:v>
      </x:c>
      <x:c r="C224" s="15" t="str">
        <x:v>ReelShort</x:v>
      </x:c>
      <x:c r="D224" s="15" t="str">
        <x:v>Supplement_DOCX</x:v>
      </x:c>
      <x:c r="E224" s="15" t="str">
        <x:v>S</x:v>
      </x:c>
      <x:c r="F224" s="15" t="str">
        <x:v>Not in base same month</x:v>
      </x:c>
      <x:c r="G224" s="15" t="str">
        <x:v>Escorting the Ruthless Billionaire Doctor</x:v>
      </x:c>
      <x:c r="H224" s="15" t="str">
        <x:v>Escorting the Ruthless Billionaire Doctor</x:v>
      </x:c>
      <x:c r="I224" s="15" t="str">
        <x:v>Supplement; AIGC flag parsed from title/logline</x:v>
      </x:c>
      <x:c r="J224" s="15" t="str">
        <x:v>Not flagged</x:v>
      </x:c>
      <x:c r="K224" s="15" t="str">
        <x:v>Female / Romance</x:v>
      </x:c>
      <x:c r="L224" s="15" t="str">
        <x:v>병원, 구원, 재벌, 가난한 여주</x:v>
      </x:c>
      <x:c r="M224" s="15" t="str">
        <x:v>High-status partner/authority</x:v>
      </x:c>
      <x:c r="N224" s="15" t="str">
        <x:v>강한 케미·보호/소유 신호를 주되 감정 확정은 지연</x:v>
      </x:c>
      <x:c r="O224" s="15" t="str">
        <x:v>Medium: 광고 컷·후킹 이미지 보강용</x:v>
      </x:c>
      <x:c r="P224" s="15" t="str">
        <x:v>아버지를 살리려는 가난한 대학생 비올렛이 냉혹한 억만장자 의사와 얽히는 구원형 멜로. 태그: 병원, 구원, 재벌, 가난한 여주.</x:v>
      </x:c>
      <x:c r="Q224" s="15" t="str">
        <x:v>보강자료 기반</x:v>
      </x:c>
      <x:c r="R224" s="15" t="str">
        <x:v>공식 공개근거는 강하지만 타이틀별 공개 수치는 미상. 추정 성과는 “클래식 구원형 멜로 슬롯”에 적합.</x:v>
      </x:c>
      <x:c r="S224" s="15" t="str">
        <x:v>B / Useful verified</x:v>
      </x:c>
      <x:c r="T224" s="18" t="n">
        <x:v>81</x:v>
      </x:c>
      <x:c r="U224" s="15" t="str">
        <x:v>B_Strong</x:v>
      </x:c>
      <x:c r="V224" s="15" t="str">
        <x:v>ADD_AND_OPTIONALLY_REPLACE_WEAK_SLOT</x:v>
      </x:c>
      <x:c r="W224" s="15" t="str">
        <x:v>Queen Mom Rules (rank 3, Medium)</x:v>
      </x:c>
      <x:c r="X224" s="15" t="str">
        <x:v>동월 약한 슬롯 대체 가능. 다만 보강자료도 공식 월간 차트가 아니므로 최종 행에서는 추가형으로 보존.</x:v>
      </x:c>
      <x:c r="Y224" s="15" t="str">
        <x:v>https://www.reelshort.com/fandom/escorting-the-ruthless-billionaire-doctor-cast-01-2/</x:v>
      </x:c>
      <x:c r="Z224" s="15" t="str">
        <x:v>기존 슬롯 강제 교체 전, 공식 페이지/광고 라이브러리/조회수 재확인.</x:v>
      </x:c>
    </x:row>
    <x:row r="225">
      <x:c r="A225" s="15" t="str">
        <x:v>L0224</x:v>
      </x:c>
      <x:c r="B225" s="15" t="str">
        <x:v>2025-10</x:v>
      </x:c>
      <x:c r="C225" s="15" t="str">
        <x:v>ReelShort</x:v>
      </x:c>
      <x:c r="D225" s="15" t="str">
        <x:v>Supplement_DOCX</x:v>
      </x:c>
      <x:c r="E225" s="15" t="str">
        <x:v>S</x:v>
      </x:c>
      <x:c r="F225" s="15" t="str">
        <x:v>Not in base same month</x:v>
      </x:c>
      <x:c r="G225" s="15" t="str">
        <x:v>Taming My Bullies</x:v>
      </x:c>
      <x:c r="H225" s="15" t="str">
        <x:v>Taming My Bullies</x:v>
      </x:c>
      <x:c r="I225" s="15" t="str">
        <x:v>Supplement; AIGC flag parsed from title/logline</x:v>
      </x:c>
      <x:c r="J225" s="15" t="str">
        <x:v>Not flagged</x:v>
      </x:c>
      <x:c r="K225" s="15" t="str">
        <x:v>Female / Romance</x:v>
      </x:c>
      <x:c r="L225" s="15" t="str">
        <x:v>campus, enemies-to-lovers, bullying, choice romance</x:v>
      </x:c>
      <x:c r="M225" s="15" t="str">
        <x:v>Revenge/regret payoff + Campus/sports heat</x:v>
      </x:c>
      <x:c r="N225" s="15" t="str">
        <x:v>굴욕/배신 후 첫 반격을 예고하고 본격 응징은 지연</x:v>
      </x:c>
      <x:c r="O225" s="15" t="str">
        <x:v>Medium: 광고 컷·후킹 이미지 보강용</x:v>
      </x:c>
      <x:c r="P225" s="15" t="str">
        <x:v>새 학교로 전학 온 엠마가 부유층 4인방과 정면충돌하며 로맨스/복수가 교차하는 학원극. 태그: campus, enemies-to-lovers, bullying, choice romance.</x:v>
      </x:c>
      <x:c r="Q225" s="15" t="str">
        <x:v>보강자료 기반</x:v>
      </x:c>
      <x:c r="R225" s="15" t="str">
        <x:v>Reddit에선 “I’m hooked!”라는 반응이 보였고, 배우/공식 SNS에서는 #100millionclub, 686 comments가 노출됐다. 추정 성과는 “캠퍼스·불량귀공자형 대중 히트”.</x:v>
      </x:c>
      <x:c r="S225" s="15" t="str">
        <x:v>A / Strong verified</x:v>
      </x:c>
      <x:c r="T225" s="18" t="n">
        <x:v>93</x:v>
      </x:c>
      <x:c r="U225" s="15" t="str">
        <x:v>A_Core</x:v>
      </x:c>
      <x:c r="V225" s="15" t="str">
        <x:v>ADD_AND_OPTIONALLY_REPLACE_WEAK_SLOT</x:v>
      </x:c>
      <x:c r="W225" s="15" t="str">
        <x:v>I Had A Baby Without You (rank 2, Low)</x:v>
      </x:c>
      <x:c r="X225" s="15" t="str">
        <x:v>동월 약한 슬롯 대체 가능. 다만 보강자료도 공식 월간 차트가 아니므로 최종 행에서는 추가형으로 보존.</x:v>
      </x:c>
      <x:c r="Y225" s="15" t="str">
        <x:v>https://app.reelshort.com/app-video-share/68dadaea23e33857e70a78f9
https://www.reddit.com/user/ReelShort-CMS/</x:v>
      </x:c>
      <x:c r="Z225" s="15" t="str">
        <x:v>기존 슬롯 강제 교체 전, 공식 페이지/광고 라이브러리/조회수 재확인.</x:v>
      </x:c>
    </x:row>
    <x:row r="226">
      <x:c r="A226" s="15" t="str">
        <x:v>L0225</x:v>
      </x:c>
      <x:c r="B226" s="15" t="str">
        <x:v>2025-11</x:v>
      </x:c>
      <x:c r="C226" s="15" t="str">
        <x:v>ReelShort</x:v>
      </x:c>
      <x:c r="D226" s="15" t="str">
        <x:v>Supplement_DOCX</x:v>
      </x:c>
      <x:c r="E226" s="15" t="str">
        <x:v>S</x:v>
      </x:c>
      <x:c r="F226" s="15" t="str">
        <x:v>Not in base same month</x:v>
      </x:c>
      <x:c r="G226" s="15" t="str">
        <x:v>Step Aside, I’m the King of Capital</x:v>
      </x:c>
      <x:c r="H226" s="15" t="str">
        <x:v>Step Aside, I’m the King of Capital</x:v>
      </x:c>
      <x:c r="I226" s="15" t="str">
        <x:v>Supplement; AIGC flag parsed from title/logline</x:v>
      </x:c>
      <x:c r="J226" s="15" t="str">
        <x:v>Not flagged</x:v>
      </x:c>
      <x:c r="K226" s="15" t="str">
        <x:v>Male / Power fantasy</x:v>
      </x:c>
      <x:c r="L226" s="15" t="str">
        <x:v>poor-to-rich, secret billionaire, comeback fantasy</x:v>
      </x:c>
      <x:c r="M226" s="15" t="str">
        <x:v>Hidden-identity reveal + Revenge/regret payoff + High-status partner/authority</x:v>
      </x:c>
      <x:c r="N226" s="15" t="str">
        <x:v>정체/권력 공개 직전까지 결핍·오해를 누적</x:v>
      </x:c>
      <x:c r="O226" s="15" t="str">
        <x:v>Medium-High: 압도적 외모·의상·공간 미감으로 실사형 보상 강화</x:v>
      </x:c>
      <x:c r="P226" s="15" t="str">
        <x:v>출소 직후 정체를 숨긴 남자가 상류층 세계로 복귀하는 빈자→왕좌 역습물. 태그: poor-to-rich, secret billionaire, comeback fantasy.</x:v>
      </x:c>
      <x:c r="Q226" s="15" t="str">
        <x:v>보강자료 기반</x:v>
      </x:c>
      <x:c r="R226" s="15" t="str">
        <x:v>ReelShort 검색 계열에 161.6M이 직접 노출됐다. 추정 성과는 남성향 역습물 중 상위권.</x:v>
      </x:c>
      <x:c r="S226" s="15" t="str">
        <x:v>A / Strong verified</x:v>
      </x:c>
      <x:c r="T226" s="18" t="n">
        <x:v>85</x:v>
      </x:c>
      <x:c r="U226" s="15" t="str">
        <x:v>A_Core</x:v>
      </x:c>
      <x:c r="V226" s="15" t="str">
        <x:v>ADD_AND_OPTIONALLY_REPLACE_WEAK_SLOT</x:v>
      </x:c>
      <x:c r="W226" s="15" t="str">
        <x:v>Operation Christmas Trap (rank 2, Low)</x:v>
      </x:c>
      <x:c r="X226" s="15" t="str">
        <x:v>동월 약한 슬롯 대체 가능. 다만 보강자료도 공식 월간 차트가 아니므로 최종 행에서는 추가형으로 보존.</x:v>
      </x:c>
      <x:c r="Y226" s="15" t="str">
        <x:v>https://www.reelshort.com/full-episodes/step-aside-i-m-the-king-of-capital-690306d7afd90472c800cf3a
https://www.reelshort.com/search?keywords=step+aside+im+the+king+of+capital+freya&amp;uniqueid=cab5608b831a</x:v>
      </x:c>
      <x:c r="Z226" s="15" t="str">
        <x:v>기존 슬롯 강제 교체 전, 공식 페이지/광고 라이브러리/조회수 재확인.</x:v>
      </x:c>
    </x:row>
    <x:row r="227">
      <x:c r="A227" s="15" t="str">
        <x:v>L0226</x:v>
      </x:c>
      <x:c r="B227" s="15" t="str">
        <x:v>2025-12</x:v>
      </x:c>
      <x:c r="C227" s="15" t="str">
        <x:v>ReelShort</x:v>
      </x:c>
      <x:c r="D227" s="15" t="str">
        <x:v>Supplement_DOCX</x:v>
      </x:c>
      <x:c r="E227" s="15" t="str">
        <x:v>S</x:v>
      </x:c>
      <x:c r="F227" s="15" t="str">
        <x:v>Exists in another month</x:v>
      </x:c>
      <x:c r="G227" s="15" t="str">
        <x:v>Operation Christmas Trap</x:v>
      </x:c>
      <x:c r="H227" s="15" t="str">
        <x:v>Operation Christmas Trap</x:v>
      </x:c>
      <x:c r="I227" s="15" t="str">
        <x:v>Supplement; AIGC flag parsed from title/logline</x:v>
      </x:c>
      <x:c r="J227" s="15" t="str">
        <x:v>Not flagged</x:v>
      </x:c>
      <x:c r="K227" s="15" t="str">
        <x:v>Family regret / mixed</x:v>
      </x:c>
      <x:c r="L227" s="15" t="str">
        <x:v>holiday, twins, second chance, family healing</x:v>
      </x:c>
      <x:c r="M227" s="15" t="str">
        <x:v>Child/family reunion</x:v>
      </x:c>
      <x:c r="N227" s="15" t="str">
        <x:v>무료부에서는 결핍과 예고, 유료부에서는 보상/진실/역전</x:v>
      </x:c>
      <x:c r="O227" s="15" t="str">
        <x:v>Medium: 아이/가족 감정은 직관화하되 섬세한 연기는 과신 금지</x:v>
      </x:c>
      <x:c r="P227" s="15" t="str">
        <x:v>쌍둥이 딸들이 부모를 다시 붙이려는 크리스마스 시즌 재회극. 태그: holiday, twins, second chance, family healing.</x:v>
      </x:c>
      <x:c r="Q227" s="15" t="str">
        <x:v>보강자료 기반</x:v>
      </x:c>
      <x:c r="R227" s="15" t="str">
        <x:v>2025-12-01 공개가 명시됐고 68 episodes로 길게 운용됐다. 정량 조회는 미상이나, 연말 시즌 슬롯으로 매우 쓰기 좋은 구조다.</x:v>
      </x:c>
      <x:c r="S227" s="15" t="str">
        <x:v>B / Useful verified</x:v>
      </x:c>
      <x:c r="T227" s="18" t="n">
        <x:v>73</x:v>
      </x:c>
      <x:c r="U227" s="15" t="str">
        <x:v>B_Strong</x:v>
      </x:c>
      <x:c r="V227" s="15" t="str">
        <x:v>ADD_AS_MONTH_REPEAT_OR_REALIGN</x:v>
      </x:c>
      <x:c r="W227" s="15" t="str">
        <x:v>2025-11 rank2</x:v>
      </x:c>
      <x:c r="X227" s="15" t="str">
        <x:v>같은 플랫폼의 다른 월에 존재. 장기 집행/재노출 가능성이 있어 월 보정 또는 반복 편성 후보.</x:v>
      </x:c>
      <x:c r="Y227" s="15" t="str">
        <x:v>https://www.reelshort.com/fandom/operation-christmas-trap-cast-01-2-0bdc90598b6f/</x:v>
      </x:c>
      <x:c r="Z227" s="15" t="str">
        <x:v>기존 슬롯 강제 교체 전, 공식 페이지/광고 라이브러리/조회수 재확인.</x:v>
      </x:c>
    </x:row>
    <x:row r="228">
      <x:c r="A228" s="15" t="str">
        <x:v>L0227</x:v>
      </x:c>
      <x:c r="B228" s="15" t="str">
        <x:v>2026-01</x:v>
      </x:c>
      <x:c r="C228" s="15" t="str">
        <x:v>ReelShort</x:v>
      </x:c>
      <x:c r="D228" s="15" t="str">
        <x:v>Supplement_DOCX</x:v>
      </x:c>
      <x:c r="E228" s="15" t="str">
        <x:v>S</x:v>
      </x:c>
      <x:c r="F228" s="15" t="str">
        <x:v>Not in base same month</x:v>
      </x:c>
      <x:c r="G228" s="15" t="str">
        <x:v>Your Husband Is Mine</x:v>
      </x:c>
      <x:c r="H228" s="15" t="str">
        <x:v>Your Husband Is Mine</x:v>
      </x:c>
      <x:c r="I228" s="15" t="str">
        <x:v>Supplement; AIGC flag parsed from title/logline</x:v>
      </x:c>
      <x:c r="J228" s="15" t="str">
        <x:v>Not flagged</x:v>
      </x:c>
      <x:c r="K228" s="15" t="str">
        <x:v>Female / Romance</x:v>
      </x:c>
      <x:c r="L228" s="15" t="str">
        <x:v>revenge, seduction, toxic love. ② 헤이징 “사고”로 죽은 쌍둥이 언니를 대신해 여동생이 캠퍼스에 잠입하는 복수 스릴러. 태그: twin revenge, campus, murder mystery</x:v>
      </x:c>
      <x:c r="M228" s="15" t="str">
        <x:v>Revenge/regret payoff + Campus/sports heat</x:v>
      </x:c>
      <x:c r="N228" s="15" t="str">
        <x:v>굴욕/배신 후 첫 반격을 예고하고 본격 응징은 지연</x:v>
      </x:c>
      <x:c r="O228" s="15" t="str">
        <x:v>Medium: 광고 컷·후킹 이미지 보강용</x:v>
      </x:c>
      <x:c r="P228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8" s="15" t="str">
        <x:v>보강자료 기반</x:v>
      </x:c>
      <x:c r="R228" s="15" t="str">
        <x:v>① ReelShort가 76.6M·742.6k를 노출한 대형 타이틀이다. ② 2026-01-29 런칭이 명시됐고 60화 완결 구조다.</x:v>
      </x:c>
      <x:c r="S228" s="15" t="str">
        <x:v>A / Strong verified</x:v>
      </x:c>
      <x:c r="T228" s="18" t="n">
        <x:v>95</x:v>
      </x:c>
      <x:c r="U228" s="15" t="str">
        <x:v>A_Core</x:v>
      </x:c>
      <x:c r="V228" s="15" t="str">
        <x:v>ADD_AND_OPTIONALLY_REPLACE_WEAK_SLOT</x:v>
      </x:c>
      <x:c r="W228" s="15" t="str">
        <x:v>I’m Done Being Your Simp (rank 3, High)</x:v>
      </x:c>
      <x:c r="X228" s="15" t="str">
        <x:v>동월 약한 슬롯 대체 가능. 다만 보강자료도 공식 월간 차트가 아니므로 최종 행에서는 추가형으로 보존.</x:v>
      </x:c>
      <x:c r="Y228" s="15" t="str">
        <x:v>https://www.reelshort.com/search?keywords=your+husband+is+mine+movie&amp;uniqueid=c2a177b07a8c
https://www.reelshort.com/search?keywords=Your+Husband+Is+Mine+cast&amp;uniqueid=c2a177b07a8c</x:v>
      </x:c>
      <x:c r="Z228" s="15" t="str">
        <x:v>기존 슬롯 강제 교체 전, 공식 페이지/광고 라이브러리/조회수 재확인.</x:v>
      </x:c>
    </x:row>
    <x:row r="229">
      <x:c r="A229" s="15" t="str">
        <x:v>L0228</x:v>
      </x:c>
      <x:c r="B229" s="15" t="str">
        <x:v>2026-01</x:v>
      </x:c>
      <x:c r="C229" s="15" t="str">
        <x:v>ReelShort</x:v>
      </x:c>
      <x:c r="D229" s="15" t="str">
        <x:v>Supplement_DOCX</x:v>
      </x:c>
      <x:c r="E229" s="15" t="str">
        <x:v>S</x:v>
      </x:c>
      <x:c r="F229" s="15" t="str">
        <x:v>Not in base same month</x:v>
      </x:c>
      <x:c r="G229" s="15" t="str">
        <x:v>Sisterhood of Lies: Pledge for Revenge</x:v>
      </x:c>
      <x:c r="H229" s="15" t="str">
        <x:v>Sisterhood of Lies: Pledge for Revenge</x:v>
      </x:c>
      <x:c r="I229" s="15" t="str">
        <x:v>Supplement; AIGC flag parsed from title/logline</x:v>
      </x:c>
      <x:c r="J229" s="15" t="str">
        <x:v>Not flagged</x:v>
      </x:c>
      <x:c r="K229" s="15" t="str">
        <x:v>Female / Romance</x:v>
      </x:c>
      <x:c r="L229" s="15" t="str">
        <x:v>revenge, seduction, toxic love. ② 헤이징 “사고”로 죽은 쌍둥이 언니를 대신해 여동생이 캠퍼스에 잠입하는 복수 스릴러. 태그: twin revenge, campus, murder mystery</x:v>
      </x:c>
      <x:c r="M229" s="15" t="str">
        <x:v>Revenge/regret payoff + Campus/sports heat</x:v>
      </x:c>
      <x:c r="N229" s="15" t="str">
        <x:v>굴욕/배신 후 첫 반격을 예고하고 본격 응징은 지연</x:v>
      </x:c>
      <x:c r="O229" s="15" t="str">
        <x:v>Medium: 광고 컷·후킹 이미지 보강용</x:v>
      </x:c>
      <x:c r="P229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9" s="15" t="str">
        <x:v>보강자료 기반</x:v>
      </x:c>
      <x:c r="R229" s="15" t="str">
        <x:v>① ReelShort가 76.6M·742.6k를 노출한 대형 타이틀이다. ② 2026-01-29 런칭이 명시됐고 60화 완결 구조다.</x:v>
      </x:c>
      <x:c r="S229" s="15" t="str">
        <x:v>A / Strong verified</x:v>
      </x:c>
      <x:c r="T229" s="18" t="n">
        <x:v>95</x:v>
      </x:c>
      <x:c r="U229" s="15" t="str">
        <x:v>A_Core</x:v>
      </x:c>
      <x:c r="V229" s="15" t="str">
        <x:v>ADD_AND_OPTIONALLY_REPLACE_WEAK_SLOT</x:v>
      </x:c>
      <x:c r="W229" s="15" t="str">
        <x:v>I’m Done Being Your Simp (rank 3, High)</x:v>
      </x:c>
      <x:c r="X229" s="15" t="str">
        <x:v>동월 약한 슬롯 대체 가능. 다만 보강자료도 공식 월간 차트가 아니므로 최종 행에서는 추가형으로 보존.</x:v>
      </x:c>
      <x:c r="Y229" s="15" t="str">
        <x:v>https://www.reelshort.com/search?keywords=your+husband+is+mine+movie&amp;uniqueid=c2a177b07a8c
https://www.reelshort.com/search?keywords=Your+Husband+Is+Mine+cast&amp;uniqueid=c2a177b07a8c</x:v>
      </x:c>
      <x:c r="Z229" s="15" t="str">
        <x:v>기존 슬롯 강제 교체 전, 공식 페이지/광고 라이브러리/조회수 재확인.</x:v>
      </x:c>
    </x:row>
    <x:row r="230">
      <x:c r="A230" s="15" t="str">
        <x:v>L0229</x:v>
      </x:c>
      <x:c r="B230" s="15" t="str">
        <x:v>2026-02</x:v>
      </x:c>
      <x:c r="C230" s="15" t="str">
        <x:v>ReelShort</x:v>
      </x:c>
      <x:c r="D230" s="15" t="str">
        <x:v>Supplement_DOCX</x:v>
      </x:c>
      <x:c r="E230" s="15" t="str">
        <x:v>S</x:v>
      </x:c>
      <x:c r="F230" s="15" t="str">
        <x:v>Not in base same month</x:v>
      </x:c>
      <x:c r="G230" s="15" t="str">
        <x:v>Ms. CEO’s Baby Daddy Is the Merchant of Death</x:v>
      </x:c>
      <x:c r="H230" s="15" t="str">
        <x:v>Ms. CEO’s Baby Daddy Is the Merchant of Death</x:v>
      </x:c>
      <x:c r="I230" s="15" t="str">
        <x:v>Supplement; AIGC flag parsed from title/logline</x:v>
      </x:c>
      <x:c r="J230" s="15" t="str">
        <x:v>Not flagged</x:v>
      </x:c>
      <x:c r="K230" s="15" t="str">
        <x:v>Female / Family-romance</x:v>
      </x:c>
      <x:c r="L230" s="15" t="str">
        <x:v>action-romance, secret identity, kid, arms dealer</x:v>
      </x:c>
      <x:c r="M230" s="15" t="str">
        <x:v>Hidden-identity reveal + High-status partner/authority + Child/family reunion</x:v>
      </x:c>
      <x:c r="N230" s="15" t="str">
        <x:v>정체/권력 공개 직전까지 결핍·오해를 누적</x:v>
      </x:c>
      <x:c r="O230" s="15" t="str">
        <x:v>Medium-High: 압도적 외모·의상·공간 미감으로 실사형 보상 강화</x:v>
      </x:c>
      <x:c r="P230" s="15" t="str">
        <x:v>세계 최강 무기상이 언더커버 도중 CEO 샬럿과 아이를 얻게 되면서 정체를 숨긴 채 가족을 지키는 액션 로맨스. 태그: action-romance, secret identity, kid, arms dealer.</x:v>
      </x:c>
      <x:c r="Q230" s="15" t="str">
        <x:v>보강자료 기반</x:v>
      </x:c>
      <x:c r="R230" s="15" t="str">
        <x:v>Reddit 대표 반응은 “I’m loving it”이었고, 공식 유튜브 플레이리스트는 959,855 views, 별도 영상은 109K views를 노출했다. 추정 성과는 “액션+육아 혼합형 고반응작”.</x:v>
      </x:c>
      <x:c r="S230" s="15" t="str">
        <x:v>A / Strong verified</x:v>
      </x:c>
      <x:c r="T230" s="18" t="n">
        <x:v>100</x:v>
      </x:c>
      <x:c r="U230" s="15" t="str">
        <x:v>A_Core</x:v>
      </x:c>
      <x:c r="V230" s="15" t="str">
        <x:v>ADD_AND_OPTIONALLY_REPLACE_WEAK_SLOT</x:v>
      </x:c>
      <x:c r="W230" s="15" t="str">
        <x:v>Don’t Miss Me When I’m Gone (rank 5, Medium)</x:v>
      </x:c>
      <x:c r="X230" s="15" t="str">
        <x:v>동월 약한 슬롯 대체 가능. 다만 보강자료도 공식 월간 차트가 아니므로 최종 행에서는 추가형으로 보존.</x:v>
      </x:c>
      <x:c r="Y230" s="15" t="str">
        <x:v>https://www.reelshort.com/search?keywords=Ms.+CEO%27s+Baby+Daddy+Is+the+Merchant+of+Death+reddit&amp;uniqueid=87e4a9c3288b
https://www.reddit.com/user/Latter_Rutabaga_9087/</x:v>
      </x:c>
      <x:c r="Z230" s="15" t="str">
        <x:v>기존 슬롯 강제 교체 전, 공식 페이지/광고 라이브러리/조회수 재확인.</x:v>
      </x:c>
    </x:row>
    <x:row r="231">
      <x:c r="A231" s="15" t="str">
        <x:v>L0230</x:v>
      </x:c>
      <x:c r="B231" s="15" t="str">
        <x:v>2026-03</x:v>
      </x:c>
      <x:c r="C231" s="15" t="str">
        <x:v>ReelShort</x:v>
      </x:c>
      <x:c r="D231" s="15" t="str">
        <x:v>Supplement_DOCX</x:v>
      </x:c>
      <x:c r="E231" s="15" t="str">
        <x:v>S</x:v>
      </x:c>
      <x:c r="F231" s="15" t="str">
        <x:v>Not in base same month</x:v>
      </x:c>
      <x:c r="G231" s="15" t="str">
        <x:v>The Cooking Queen: A Recipe for Divorce</x:v>
      </x:c>
      <x:c r="H231" s="15" t="str">
        <x:v>The Cooking Queen: A Recipe for Divorce</x:v>
      </x:c>
      <x:c r="I231" s="15" t="str">
        <x:v>Supplement; AIGC flag parsed from title/logline</x:v>
      </x:c>
      <x:c r="J231" s="15" t="str">
        <x:v>Not flagged</x:v>
      </x:c>
      <x:c r="K231" s="15" t="str">
        <x:v>Female / Romance</x:v>
      </x:c>
      <x:c r="L231" s="15" t="str">
        <x:v>second chance, divorce, food, billionaire romance</x:v>
      </x:c>
      <x:c r="M231" s="15" t="str">
        <x:v>Hidden-identity reveal + Revenge/regret payoff + High-status partner/authority</x:v>
      </x:c>
      <x:c r="N231" s="15" t="str">
        <x:v>강한 케미·보호/소유 신호를 주되 감정 확정은 지연</x:v>
      </x:c>
      <x:c r="O231" s="15" t="str">
        <x:v>Medium-High: 압도적 외모·의상·공간 미감으로 실사형 보상 강화</x:v>
      </x:c>
      <x:c r="P231" s="15" t="str">
        <x:v>남편의 성공을 위해 은퇴했던 요리 여왕 티파니가 이혼과 재기, 새 사랑을 동시에 요리하는 멜로 복수극. 태그: second chance, divorce, food, billionaire romance.</x:v>
      </x:c>
      <x:c r="Q231" s="15" t="str">
        <x:v>보강자료 기반</x:v>
      </x:c>
      <x:c r="R231" s="15" t="str">
        <x:v>Facebook 댓글엔 “This movie is very good and captivating. I have watched it many times”가 남았고, ReelShort 검색에선 53.6M 또는 별칭 기준 56M이 노출됐다.</x:v>
      </x:c>
      <x:c r="S231" s="15" t="str">
        <x:v>A / Strong verified</x:v>
      </x:c>
      <x:c r="T231" s="18" t="n">
        <x:v>95</x:v>
      </x:c>
      <x:c r="U231" s="15" t="str">
        <x:v>A_Core</x:v>
      </x:c>
      <x:c r="V231" s="15" t="str">
        <x:v>ADD_AND_OPTIONALLY_REPLACE_WEAK_SLOT</x:v>
      </x:c>
      <x:c r="W231" s="15" t="str">
        <x:v>The Magnificent Bodyguard (rank 5, Low)</x:v>
      </x:c>
      <x:c r="X231" s="15" t="str">
        <x:v>동월 약한 슬롯 대체 가능. 다만 보강자료도 공식 월간 차트가 아니므로 최종 행에서는 추가형으로 보존.</x:v>
      </x:c>
      <x:c r="Y231" s="15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  <x:c r="Z231" s="15" t="str">
        <x:v>기존 슬롯 강제 교체 전, 공식 페이지/광고 라이브러리/조회수 재확인.</x:v>
      </x:c>
    </x:row>
    <x:row r="232">
      <x:c r="A232" s="15" t="str">
        <x:v>L0231</x:v>
      </x:c>
      <x:c r="B232" s="15" t="str">
        <x:v>2026-04</x:v>
      </x:c>
      <x:c r="C232" s="15" t="str">
        <x:v>ReelShort</x:v>
      </x:c>
      <x:c r="D232" s="15" t="str">
        <x:v>Supplement_DOCX</x:v>
      </x:c>
      <x:c r="E232" s="15" t="str">
        <x:v>S</x:v>
      </x:c>
      <x:c r="F232" s="15" t="str">
        <x:v>Not in base same month</x:v>
      </x:c>
      <x:c r="G232" s="15" t="str">
        <x:v>My Secret Lover Is His Brother</x:v>
      </x:c>
      <x:c r="H232" s="15" t="str">
        <x:v>My Secret Lover Is His Brother</x:v>
      </x:c>
      <x:c r="I232" s="15" t="str">
        <x:v>Supplement; AIGC flag parsed from title/logline</x:v>
      </x:c>
      <x:c r="J232" s="15" t="str">
        <x:v>Not flagged</x:v>
      </x:c>
      <x:c r="K232" s="15" t="str">
        <x:v>Female / Family-romance</x:v>
      </x:c>
      <x:c r="L232" s="15" t="str">
        <x:v>YA, debt marriage, love triangle. ② 칩 천재 레온이 무너진 삶을 뒤집는 기술 복수 스릴러. 태그: tech thriller, comeback, genius engineer</x:v>
      </x:c>
      <x:c r="M232" s="15" t="str">
        <x:v>Hidden-identity reveal + Revenge/regret payoff + Child/family reunion</x:v>
      </x:c>
      <x:c r="N232" s="15" t="str">
        <x:v>정체/권력 공개 직전까지 결핍·오해를 누적</x:v>
      </x:c>
      <x:c r="O232" s="15" t="str">
        <x:v>Medium: 아이/가족 감정은 직관화하되 섬세한 연기는 과신 금지</x:v>
      </x:c>
      <x:c r="P232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2" s="15" t="str">
        <x:v>보강자료 기반</x:v>
      </x:c>
      <x:c r="R232" s="15" t="str">
        <x:v>두 작품 모두 2026-04 공개 흔적이 명확하다. 정량 지표는 미상이나, ReelShort가 각각 74화·74화로 장편 운용했다.</x:v>
      </x:c>
      <x:c r="S232" s="15" t="str">
        <x:v>B / Useful verified</x:v>
      </x:c>
      <x:c r="T232" s="18" t="n">
        <x:v>73</x:v>
      </x:c>
      <x:c r="U232" s="15" t="str">
        <x:v>B_Strong</x:v>
      </x:c>
      <x:c r="V232" s="15" t="str">
        <x:v>ADD_AND_OPTIONALLY_REPLACE_WEAK_SLOT</x:v>
      </x:c>
      <x:c r="W232" s="15" t="str">
        <x:v>All’s Fairway in Love at the Country Club (rank 5, Low)</x:v>
      </x:c>
      <x:c r="X232" s="15" t="str">
        <x:v>동월 약한 슬롯 대체 가능. 다만 보강자료도 공식 월간 차트가 아니므로 최종 행에서는 추가형으로 보존.</x:v>
      </x:c>
      <x:c r="Y232" s="15" t="str">
        <x:v>https://www.reelshort.com/episodes/episode-1-my-secret-lover-is-his-brother-69c66c0c03e82c80ed093e46-fmj6bl3a86
https://www.reelshort.com/full-episodes/my-secret-lover-is-his-brother-69c66c0c03e82c80ed093e46</x:v>
      </x:c>
      <x:c r="Z232" s="15" t="str">
        <x:v>기존 슬롯 강제 교체 전, 공식 페이지/광고 라이브러리/조회수 재확인.</x:v>
      </x:c>
    </x:row>
    <x:row r="233">
      <x:c r="A233" s="15" t="str">
        <x:v>L0232</x:v>
      </x:c>
      <x:c r="B233" s="15" t="str">
        <x:v>2026-04</x:v>
      </x:c>
      <x:c r="C233" s="15" t="str">
        <x:v>ReelShort</x:v>
      </x:c>
      <x:c r="D233" s="15" t="str">
        <x:v>Supplement_DOCX</x:v>
      </x:c>
      <x:c r="E233" s="15" t="str">
        <x:v>S</x:v>
      </x:c>
      <x:c r="F233" s="15" t="str">
        <x:v>Not in base same month</x:v>
      </x:c>
      <x:c r="G233" s="15" t="str">
        <x:v>Silicon God Strikes Back</x:v>
      </x:c>
      <x:c r="H233" s="15" t="str">
        <x:v>Silicon God Strikes Back</x:v>
      </x:c>
      <x:c r="I233" s="15" t="str">
        <x:v>Supplement; AIGC flag parsed from title/logline</x:v>
      </x:c>
      <x:c r="J233" s="15" t="str">
        <x:v>Not flagged</x:v>
      </x:c>
      <x:c r="K233" s="15" t="str">
        <x:v>Female / Family-romance</x:v>
      </x:c>
      <x:c r="L233" s="15" t="str">
        <x:v>YA, debt marriage, love triangle. ② 칩 천재 레온이 무너진 삶을 뒤집는 기술 복수 스릴러. 태그: tech thriller, comeback, genius engineer</x:v>
      </x:c>
      <x:c r="M233" s="15" t="str">
        <x:v>Revenge/regret payoff + Child/family reunion</x:v>
      </x:c>
      <x:c r="N233" s="15" t="str">
        <x:v>무료부에서는 결핍과 예고, 유료부에서는 보상/진실/역전</x:v>
      </x:c>
      <x:c r="O233" s="15" t="str">
        <x:v>Medium: 아이/가족 감정은 직관화하되 섬세한 연기는 과신 금지</x:v>
      </x:c>
      <x:c r="P233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3" s="15" t="str">
        <x:v>보강자료 기반</x:v>
      </x:c>
      <x:c r="R233" s="15" t="str">
        <x:v>두 작품 모두 2026-04 공개 흔적이 명확하다. 정량 지표는 미상이나, ReelShort가 각각 74화·74화로 장편 운용했다.</x:v>
      </x:c>
      <x:c r="S233" s="15" t="str">
        <x:v>B / Useful verified</x:v>
      </x:c>
      <x:c r="T233" s="18" t="n">
        <x:v>73</x:v>
      </x:c>
      <x:c r="U233" s="15" t="str">
        <x:v>B_Strong</x:v>
      </x:c>
      <x:c r="V233" s="15" t="str">
        <x:v>ADD_AND_OPTIONALLY_REPLACE_WEAK_SLOT</x:v>
      </x:c>
      <x:c r="W233" s="15" t="str">
        <x:v>All’s Fairway in Love at the Country Club (rank 5, Low)</x:v>
      </x:c>
      <x:c r="X233" s="15" t="str">
        <x:v>동월 약한 슬롯 대체 가능. 다만 보강자료도 공식 월간 차트가 아니므로 최종 행에서는 추가형으로 보존.</x:v>
      </x:c>
      <x:c r="Y233" s="15" t="str">
        <x:v>https://www.reelshort.com/episodes/episode-1-my-secret-lover-is-his-brother-69c66c0c03e82c80ed093e46-fmj6bl3a86
https://www.reelshort.com/full-episodes/my-secret-lover-is-his-brother-69c66c0c03e82c80ed093e46</x:v>
      </x:c>
      <x:c r="Z233" s="15" t="str">
        <x:v>기존 슬롯 강제 교체 전, 공식 페이지/광고 라이브러리/조회수 재확인.</x:v>
      </x:c>
    </x:row>
    <x:row r="234">
      <x:c r="A234" s="15" t="str">
        <x:v>L0233</x:v>
      </x:c>
      <x:c r="B234" s="15" t="str">
        <x:v>2025-06</x:v>
      </x:c>
      <x:c r="C234" s="15" t="str">
        <x:v>DramaBox</x:v>
      </x:c>
      <x:c r="D234" s="15" t="str">
        <x:v>Supplement_DOCX</x:v>
      </x:c>
      <x:c r="E234" s="15" t="str">
        <x:v>S</x:v>
      </x:c>
      <x:c r="F234" s="15" t="str">
        <x:v>Not in base same month</x:v>
      </x:c>
      <x:c r="G234" s="15" t="str">
        <x:v>Honey, Guess Who’s the REAL BOSS</x:v>
      </x:c>
      <x:c r="H234" s="15" t="str">
        <x:v>Honey, Guess Who’s the REAL BOSS</x:v>
      </x:c>
      <x:c r="I234" s="15" t="str">
        <x:v>Supplement; AIGC flag parsed from title/logline</x:v>
      </x:c>
      <x:c r="J234" s="15" t="str">
        <x:v>Not flagged</x:v>
      </x:c>
      <x:c r="K234" s="15" t="str">
        <x:v>Female / Romance</x:v>
      </x:c>
      <x:c r="L234" s="15" t="str">
        <x:v>Romance, Billionaire, Strong Female Lead. 스토리 상세는 공개 검색 스니펫상 미상</x:v>
      </x:c>
      <x:c r="M234" s="15" t="str">
        <x:v>Hidden-identity reveal + High-status partner/authority + Progression/spectacle</x:v>
      </x:c>
      <x:c r="N234" s="15" t="str">
        <x:v>정체/권력 공개 직전까지 결핍·오해를 누적</x:v>
      </x:c>
      <x:c r="O234" s="15" t="str">
        <x:v>Medium-High: 압도적 외모·의상·공간 미감으로 실사형 보상 강화</x:v>
      </x:c>
      <x:c r="P234" s="15" t="str">
        <x:v>공식 홈 기준 대표 must-see. 태그: Romance, Billionaire, Strong Female Lead. 스토리 상세는 공개 검색 스니펫상 미상.</x:v>
      </x:c>
      <x:c r="Q234" s="15" t="str">
        <x:v>보강자료 기반</x:v>
      </x:c>
      <x:c r="R234" s="15" t="str">
        <x:v>공식 월별 타이틀 성과는 미상. 다만 플랫폼 홈 최상단 must-see에 오른 점은 “메인 카탈로그 코어”라는 의미가 있다.</x:v>
      </x:c>
      <x:c r="S234" s="15" t="str">
        <x:v>B / Useful verified</x:v>
      </x:c>
      <x:c r="T234" s="18" t="n">
        <x:v>81</x:v>
      </x:c>
      <x:c r="U234" s="15" t="str">
        <x:v>B_Strong</x:v>
      </x:c>
      <x:c r="V234" s="15" t="str">
        <x:v>ADD_AND_OPTIONALLY_REPLACE_WEAK_SLOT</x:v>
      </x:c>
      <x:c r="W234" s="15" t="str">
        <x:v>Bound by a Family Alliance / I Wish It Were You (rank 3, Low)</x:v>
      </x:c>
      <x:c r="X234" s="15" t="str">
        <x:v>동월 약한 슬롯 대체 가능. 다만 보강자료도 공식 월간 차트가 아니므로 최종 행에서는 추가형으로 보존.</x:v>
      </x:c>
      <x:c r="Y234" s="15" t="str">
        <x:v>https://www.dramabox.com/</x:v>
      </x:c>
      <x:c r="Z234" s="15" t="str">
        <x:v>기존 슬롯 강제 교체 전, 공식 페이지/광고 라이브러리/조회수 재확인.</x:v>
      </x:c>
    </x:row>
    <x:row r="235">
      <x:c r="A235" s="15" t="str">
        <x:v>L0234</x:v>
      </x:c>
      <x:c r="B235" s="15" t="str">
        <x:v>2025-07</x:v>
      </x:c>
      <x:c r="C235" s="15" t="str">
        <x:v>DramaBox</x:v>
      </x:c>
      <x:c r="D235" s="15" t="str">
        <x:v>Supplement_DOCX</x:v>
      </x:c>
      <x:c r="E235" s="15" t="str">
        <x:v>S</x:v>
      </x:c>
      <x:c r="F235" s="15" t="str">
        <x:v>Not in base same month</x:v>
      </x:c>
      <x:c r="G235" s="15" t="str">
        <x:v>Reborn To Love Alpha King</x:v>
      </x:c>
      <x:c r="H235" s="15" t="str">
        <x:v>Reborn To Love Alpha King</x:v>
      </x:c>
      <x:c r="I235" s="15" t="str">
        <x:v>Supplement; AIGC flag parsed from title/logline</x:v>
      </x:c>
      <x:c r="J235" s="15" t="str">
        <x:v>Not flagged</x:v>
      </x:c>
      <x:c r="K235" s="15" t="str">
        <x:v>Female / Romance</x:v>
      </x:c>
      <x:c r="L235" s="15" t="str">
        <x:v>Romance, Werewolf, Revenge, Sweet Love. 상세 스토리는 검색 스니펫상 미상</x:v>
      </x:c>
      <x:c r="M235" s="15" t="str">
        <x:v>Hidden-identity reveal + Revenge/regret payoff + High-status partner/authority</x:v>
      </x:c>
      <x:c r="N235" s="15" t="str">
        <x:v>굴욕/배신 후 첫 반격을 예고하고 본격 응징은 지연</x:v>
      </x:c>
      <x:c r="O235" s="15" t="str">
        <x:v>Medium: 광고 컷·후킹 이미지 보강용</x:v>
      </x:c>
      <x:c r="P235" s="15" t="str">
        <x:v>공식 홈 기준 대표 werewolf 멜로. 태그: Romance, Werewolf, Revenge, Sweet Love. 상세 스토리는 검색 스니펫상 미상.</x:v>
      </x:c>
      <x:c r="Q235" s="15" t="str">
        <x:v>보강자료 기반</x:v>
      </x:c>
      <x:c r="R235" s="15" t="str">
        <x:v>성과 수치 미상. 다만 DramaBox가 실사 로맨스 외에도 알파/복수 축을 병행한다는 신호로 유효하다.</x:v>
      </x:c>
      <x:c r="S235" s="15" t="str">
        <x:v>B / Useful verified</x:v>
      </x:c>
      <x:c r="T235" s="18" t="n">
        <x:v>73</x:v>
      </x:c>
      <x:c r="U235" s="15" t="str">
        <x:v>B_Strong</x:v>
      </x:c>
      <x:c r="V235" s="15" t="str">
        <x:v>ADD_AND_OPTIONALLY_REPLACE_WEAK_SLOT</x:v>
      </x:c>
      <x:c r="W235" s="15" t="str">
        <x:v>Don't Miss Me When I'm Gone (rank 3, Low)</x:v>
      </x:c>
      <x:c r="X235" s="15" t="str">
        <x:v>동월 약한 슬롯 대체 가능. 다만 보강자료도 공식 월간 차트가 아니므로 최종 행에서는 추가형으로 보존.</x:v>
      </x:c>
      <x:c r="Y235" s="15" t="str">
        <x:v>https://www.dramabox.com/</x:v>
      </x:c>
      <x:c r="Z235" s="15" t="str">
        <x:v>기존 슬롯 강제 교체 전, 공식 페이지/광고 라이브러리/조회수 재확인.</x:v>
      </x:c>
    </x:row>
    <x:row r="236">
      <x:c r="A236" s="15" t="str">
        <x:v>L0235</x:v>
      </x:c>
      <x:c r="B236" s="15" t="str">
        <x:v>2025-08</x:v>
      </x:c>
      <x:c r="C236" s="15" t="str">
        <x:v>DramaBox</x:v>
      </x:c>
      <x:c r="D236" s="15" t="str">
        <x:v>Supplement_DOCX</x:v>
      </x:c>
      <x:c r="E236" s="15" t="str">
        <x:v>S</x:v>
      </x:c>
      <x:c r="F236" s="15" t="str">
        <x:v>Not in base same month</x:v>
      </x:c>
      <x:c r="G236" s="15" t="str">
        <x:v>Summer Honeymoon with My Secret Billionaire</x:v>
      </x:c>
      <x:c r="H236" s="15" t="str">
        <x:v>Summer Honeymoon with My Secret Billionaire</x:v>
      </x:c>
      <x:c r="I236" s="15" t="str">
        <x:v>Supplement; AIGC flag parsed from title/logline</x:v>
      </x:c>
      <x:c r="J236" s="15" t="str">
        <x:v>Not flagged</x:v>
      </x:c>
      <x:c r="K236" s="15" t="str">
        <x:v>Female / Romance</x:v>
      </x:c>
      <x:c r="L236" s="15" t="str">
        <x:v>romance, billionaire, CEO, flash marriage</x:v>
      </x:c>
      <x:c r="M236" s="15" t="str">
        <x:v>Hidden-identity reveal + High-status partner/authority</x:v>
      </x:c>
      <x:c r="N236" s="15" t="str">
        <x:v>정체/권력 공개 직전까지 결핍·오해를 누적</x:v>
      </x:c>
      <x:c r="O236" s="15" t="str">
        <x:v>Medium-High: 압도적 외모·의상·공간 미감으로 실사형 보상 강화</x:v>
      </x:c>
      <x:c r="P236" s="15" t="str">
        <x:v>버림받은 신부 엘리가 “청소부” 다니엘과 허니문 결혼을 하는데, 그가 사실은 억만장자 섬 소유주라는 플래시 결혼극. 태그: romance, billionaire, CEO, flash marriage.</x:v>
      </x:c>
      <x:c r="Q236" s="15" t="str">
        <x:v>보강자료 기반</x:v>
      </x:c>
      <x:c r="R236" s="15" t="str">
        <x:v>배우 계정에선 “3 million views in 24 hours, #2 on New Releases”라고 홍보됐고, Business Insider는 이 작품을 DramaBox의 대표 인기작 중 하나로 꼽았다.</x:v>
      </x:c>
      <x:c r="S236" s="15" t="str">
        <x:v>A / Strong verified</x:v>
      </x:c>
      <x:c r="T236" s="18" t="n">
        <x:v>100</x:v>
      </x:c>
      <x:c r="U236" s="15" t="str">
        <x:v>A_Core</x:v>
      </x:c>
      <x:c r="V236" s="15" t="str">
        <x:v>ADD_AND_OPTIONALLY_REPLACE_WEAK_SLOT</x:v>
      </x:c>
      <x:c r="W236" s="15" t="str">
        <x:v>Forever After, Never Again (rank 3, Low)</x:v>
      </x:c>
      <x:c r="X236" s="15" t="str">
        <x:v>동월 약한 슬롯 대체 가능. 다만 보강자료도 공식 월간 차트가 아니므로 최종 행에서는 추가형으로 보존.</x:v>
      </x:c>
      <x:c r="Y236" s="15" t="str">
        <x:v>https://www.dramabox.com/ko/video/41000119524_Summer-Honeymoon-with-My-Secret-Billionaire/597963604_Episode-1
https://www.instagram.com/p/DNQzzxNOn6p/</x:v>
      </x:c>
      <x:c r="Z236" s="15" t="str">
        <x:v>기존 슬롯 강제 교체 전, 공식 페이지/광고 라이브러리/조회수 재확인.</x:v>
      </x:c>
    </x:row>
    <x:row r="237">
      <x:c r="A237" s="15" t="str">
        <x:v>L0236</x:v>
      </x:c>
      <x:c r="B237" s="15" t="str">
        <x:v>2025-09</x:v>
      </x:c>
      <x:c r="C237" s="15" t="str">
        <x:v>DramaBox</x:v>
      </x:c>
      <x:c r="D237" s="15" t="str">
        <x:v>Supplement_DOCX</x:v>
      </x:c>
      <x:c r="E237" s="15" t="str">
        <x:v>S</x:v>
      </x:c>
      <x:c r="F237" s="15" t="str">
        <x:v>Not in base same month</x:v>
      </x:c>
      <x:c r="G237" s="15" t="str">
        <x:v>Summer Honeymoon with My Secret Billionaire</x:v>
      </x:c>
      <x:c r="H237" s="15" t="str">
        <x:v>Summer Honeymoon with My Secret Billionaire</x:v>
      </x:c>
      <x:c r="I237" s="15" t="str">
        <x:v>Supplement; AIGC flag parsed from title/logline</x:v>
      </x:c>
      <x:c r="J237" s="15" t="str">
        <x:v>Not flagged</x:v>
      </x:c>
      <x:c r="K237" s="15" t="str">
        <x:v>Female / Romance</x:v>
      </x:c>
      <x:c r="L237" s="15" t="str">
        <x:v>Supplemental / see logline</x:v>
      </x:c>
      <x:c r="M237" s="15" t="str">
        <x:v>Hidden-identity reveal + High-status partner/authority</x:v>
      </x:c>
      <x:c r="N237" s="15" t="str">
        <x:v>정체/권력 공개 직전까지 결핍·오해를 누적</x:v>
      </x:c>
      <x:c r="O237" s="15" t="str">
        <x:v>Medium: 광고 컷·후킹 이미지 보강용</x:v>
      </x:c>
      <x:c r="P237" s="15" t="str">
        <x:v>8월 론칭 후 9월까지 이어갈 만한 장기 체류형 작품이다. 로그라인과 태그는 동일.</x:v>
      </x:c>
      <x:c r="Q237" s="15" t="str">
        <x:v>보강자료 기반</x:v>
      </x:c>
      <x:c r="R237" s="15" t="str">
        <x:v>“수백만 뷰를 끌어낸 작품”이라는 외부 기사 언급과 24시간 300만 뷰 광고 문구를 감안하면, 9월에도 지속 집행 가치가 높다.</x:v>
      </x:c>
      <x:c r="S237" s="15" t="str">
        <x:v>A / Strong verified</x:v>
      </x:c>
      <x:c r="T237" s="18" t="n">
        <x:v>85</x:v>
      </x:c>
      <x:c r="U237" s="15" t="str">
        <x:v>A_Core</x:v>
      </x:c>
      <x:c r="V237" s="15" t="str">
        <x:v>ADD_AND_OPTIONALLY_REPLACE_WEAK_SLOT</x:v>
      </x:c>
      <x:c r="W237" s="15" t="str">
        <x:v>Divorced, Now a Lycan Princess (rank 3, High)</x:v>
      </x:c>
      <x:c r="X237" s="15" t="str">
        <x:v>동월 약한 슬롯 대체 가능. 다만 보강자료도 공식 월간 차트가 아니므로 최종 행에서는 추가형으로 보존.</x:v>
      </x:c>
      <x:c r="Y237" s="15" t="str">
        <x:v>https://www.dramabox.com/name/12284-Shayne-Davis
https://www.businessinsider.com/dramabox-strategy-to-dominate-us-micro-dramas-creators-disney-2025-9</x:v>
      </x:c>
      <x:c r="Z237" s="15" t="str">
        <x:v>기존 슬롯 강제 교체 전, 공식 페이지/광고 라이브러리/조회수 재확인.</x:v>
      </x:c>
    </x:row>
    <x:row r="238">
      <x:c r="A238" s="15" t="str">
        <x:v>L0237</x:v>
      </x:c>
      <x:c r="B238" s="15" t="str">
        <x:v>2025-10</x:v>
      </x:c>
      <x:c r="C238" s="15" t="str">
        <x:v>DramaBox</x:v>
      </x:c>
      <x:c r="D238" s="15" t="str">
        <x:v>Supplement_DOCX</x:v>
      </x:c>
      <x:c r="E238" s="15" t="str">
        <x:v>S</x:v>
      </x:c>
      <x:c r="F238" s="15" t="str">
        <x:v>Not in base same month</x:v>
      </x:c>
      <x:c r="G238" s="15" t="str">
        <x:v>Three Chances, Then Goodbye</x:v>
      </x:c>
      <x:c r="H238" s="15" t="str">
        <x:v>Three Chances, Then Goodbye</x:v>
      </x:c>
      <x:c r="I238" s="15" t="str">
        <x:v>Supplement; AIGC flag parsed from title/logline</x:v>
      </x:c>
      <x:c r="J238" s="15" t="str">
        <x:v>Not flagged</x:v>
      </x:c>
      <x:c r="K238" s="15" t="str">
        <x:v>Female / Family-romance</x:v>
      </x:c>
      <x:c r="L238" s="15" t="str">
        <x:v>CEO, divorce, child-centered regret</x:v>
      </x:c>
      <x:c r="M238" s="15" t="str">
        <x:v>Revenge/regret payoff + High-status partner/authority + Child/family reunion</x:v>
      </x:c>
      <x:c r="N238" s="15" t="str">
        <x:v>굴욕/배신 후 첫 반격을 예고하고 본격 응징은 지연</x:v>
      </x:c>
      <x:c r="O238" s="15" t="str">
        <x:v>Medium-High: 압도적 외모·의상·공간 미감으로 실사형 보상 강화</x:v>
      </x:c>
      <x:c r="P238" s="15" t="str">
        <x:v>차갑기만 한 남편에게 세 번의 기회를 준 뒤 아들과 함께 떠나는 어머니의 가족후회물. 태그: CEO, divorce, child-centered regret.</x:v>
      </x:c>
      <x:c r="Q238" s="15" t="str">
        <x:v>보강자료 기반</x:v>
      </x:c>
      <x:c r="R238" s="15" t="str">
        <x:v>공식 Facebook 포스트는 이 작품 제목을 명시하며 7.5K reactions를 노출했다. 추정 성과는 “가족후회·모자분리” 훅의 대중형 강자.</x:v>
      </x:c>
      <x:c r="S238" s="15" t="str">
        <x:v>A / Strong verified</x:v>
      </x:c>
      <x:c r="T238" s="18" t="n">
        <x:v>93</x:v>
      </x:c>
      <x:c r="U238" s="15" t="str">
        <x:v>A_Core</x:v>
      </x:c>
      <x:c r="V238" s="15" t="str">
        <x:v>ADD_AND_OPTIONALLY_REPLACE_WEAK_SLOT</x:v>
      </x:c>
      <x:c r="W238" s="15" t="str">
        <x:v>악녀로 빙의중! (rank 3, Medium)</x:v>
      </x:c>
      <x:c r="X238" s="15" t="str">
        <x:v>동월 약한 슬롯 대체 가능. 다만 보강자료도 공식 월간 차트가 아니므로 최종 행에서는 추가형으로 보존.</x:v>
      </x:c>
      <x:c r="Y238" s="15" t="str">
        <x:v>https://www.dramabox.com/drama/41000113452/Three-Chances-Then-Goodbye
https://www.facebook.com/DramaBoxMoviesDrama/posts/a-mothers-last-gift-she-visits-her-son-in-the-city-never-expecting-that-he-would/122347958360084684/</x:v>
      </x:c>
      <x:c r="Z238" s="15" t="str">
        <x:v>기존 슬롯 강제 교체 전, 공식 페이지/광고 라이브러리/조회수 재확인.</x:v>
      </x:c>
    </x:row>
    <x:row r="239">
      <x:c r="A239" s="15" t="str">
        <x:v>L0238</x:v>
      </x:c>
      <x:c r="B239" s="15" t="str">
        <x:v>2025-11</x:v>
      </x:c>
      <x:c r="C239" s="15" t="str">
        <x:v>DramaBox</x:v>
      </x:c>
      <x:c r="D239" s="15" t="str">
        <x:v>Supplement_DOCX</x:v>
      </x:c>
      <x:c r="E239" s="15" t="str">
        <x:v>S</x:v>
      </x:c>
      <x:c r="F239" s="15" t="str">
        <x:v>Not in base same month</x:v>
      </x:c>
      <x:c r="G239" s="15" t="str">
        <x:v>Three Chances, I’m Gone Forever</x:v>
      </x:c>
      <x:c r="H239" s="15" t="str">
        <x:v>Three Chances, I’m Gone Forever</x:v>
      </x:c>
      <x:c r="I239" s="15" t="str">
        <x:v>Supplement; AIGC flag parsed from title/logline</x:v>
      </x:c>
      <x:c r="J239" s="15" t="str">
        <x:v>Not flagged</x:v>
      </x:c>
      <x:c r="K239" s="15" t="str">
        <x:v>Female / Romance</x:v>
      </x:c>
      <x:c r="L239" s="15" t="str">
        <x:v>heartbreak, power reclaim, billionaire rescue</x:v>
      </x:c>
      <x:c r="M239" s="15" t="str">
        <x:v>Revenge/regret payoff + High-status partner/authority</x:v>
      </x:c>
      <x:c r="N239" s="15" t="str">
        <x:v>강한 케미·보호/소유 신호를 주되 감정 확정은 지연</x:v>
      </x:c>
      <x:c r="O239" s="15" t="str">
        <x:v>Medium-High: 압도적 외모·의상·공간 미감으로 실사형 보상 강화</x:v>
      </x:c>
      <x:c r="P239" s="15" t="str">
        <x:v>에르윈에게 단 세 번의 기회만 준 뒤, 여주가 억만장자 랜던과 함께 존엄과 권력을 되찾는 재혼 역습극. 태그: heartbreak, power reclaim, billionaire rescue.</x:v>
      </x:c>
      <x:c r="Q239" s="15" t="str">
        <x:v>보강자료 기반</x:v>
      </x:c>
      <x:c r="R239" s="15" t="str">
        <x:v>타이틀별 정량 지표는 미상이나, 같은 “three chances” 계열 감정 훅이 DramaBox에서 반복적으로 전면 배치된 점이 중요하다.</x:v>
      </x:c>
      <x:c r="S239" s="15" t="str">
        <x:v>B / Useful verified</x:v>
      </x:c>
      <x:c r="T239" s="18" t="n">
        <x:v>73</x:v>
      </x:c>
      <x:c r="U239" s="15" t="str">
        <x:v>B_Strong</x:v>
      </x:c>
      <x:c r="V239" s="15" t="str">
        <x:v>ADD_AND_OPTIONALLY_REPLACE_WEAK_SLOT</x:v>
      </x:c>
      <x:c r="W239" s="15" t="str">
        <x:v>Taming of a Billionaire (rank 3, Low)</x:v>
      </x:c>
      <x:c r="X239" s="15" t="str">
        <x:v>동월 약한 슬롯 대체 가능. 다만 보강자료도 공식 월간 차트가 아니므로 최종 행에서는 추가형으로 보존.</x:v>
      </x:c>
      <x:c r="Y239" s="15" t="str">
        <x:v>https://www.dramabox.com/drama/41000118844/Three-Chances-Im-Gone-Forever
https://www.dramabox.com/drama/41000113452/Three-Chances-Then-Goodbye</x:v>
      </x:c>
      <x:c r="Z239" s="15" t="str">
        <x:v>기존 슬롯 강제 교체 전, 공식 페이지/광고 라이브러리/조회수 재확인.</x:v>
      </x:c>
    </x:row>
    <x:row r="240">
      <x:c r="A240" s="15" t="str">
        <x:v>L0239</x:v>
      </x:c>
      <x:c r="B240" s="15" t="str">
        <x:v>2026-01</x:v>
      </x:c>
      <x:c r="C240" s="15" t="str">
        <x:v>DramaBox</x:v>
      </x:c>
      <x:c r="D240" s="15" t="str">
        <x:v>Supplement_DOCX</x:v>
      </x:c>
      <x:c r="E240" s="15" t="str">
        <x:v>S</x:v>
      </x:c>
      <x:c r="F240" s="15" t="str">
        <x:v>Exists in another month</x:v>
      </x:c>
      <x:c r="G240" s="15" t="str">
        <x:v>His Love Was A Lie</x:v>
      </x:c>
      <x:c r="H240" s="15" t="str">
        <x:v>His Love Was A Lie</x:v>
      </x:c>
      <x:c r="I240" s="15" t="str">
        <x:v>Supplement; AIGC flag parsed from title/logline</x:v>
      </x:c>
      <x:c r="J240" s="15" t="str">
        <x:v>Not flagged</x:v>
      </x:c>
      <x:c r="K240" s="15" t="str">
        <x:v>Female / Romance</x:v>
      </x:c>
      <x:c r="L240" s="15" t="str">
        <x:v>Supplemental / see logline</x:v>
      </x:c>
      <x:c r="M240" s="15" t="str">
        <x:v>Core melodrama hook</x:v>
      </x:c>
      <x:c r="N240" s="15" t="str">
        <x:v>무료부에서는 결핍과 예고, 유료부에서는 보상/진실/역전</x:v>
      </x:c>
      <x:c r="O240" s="15" t="str">
        <x:v>Medium: 광고 컷·후킹 이미지 보강용</x:v>
      </x:c>
      <x:c r="P240" s="15" t="str">
        <x:v>스토리/태그 동일. 12월 론칭 후 1월까지 이어지는 장기 체류형 이혼·독성관계 메가 훅.</x:v>
      </x:c>
      <x:c r="Q240" s="15" t="str">
        <x:v>보강자료 기반</x:v>
      </x:c>
      <x:c r="R240" s="15" t="str">
        <x:v>커뮤니티에서 후속 링크 수요가 이어졌고, 공식/비공식 전개 설명 페이지가 빠르게 증식했다. 추정 성과는 “연속회차 결제 유도형 상위권”.</x:v>
      </x:c>
      <x:c r="S240" s="15" t="str">
        <x:v>B / Useful verified</x:v>
      </x:c>
      <x:c r="T240" s="18" t="n">
        <x:v>81</x:v>
      </x:c>
      <x:c r="U240" s="15" t="str">
        <x:v>B_Strong</x:v>
      </x:c>
      <x:c r="V240" s="15" t="str">
        <x:v>ADD_AS_MONTH_REPEAT_OR_REALIGN</x:v>
      </x:c>
      <x:c r="W240" s="15" t="str">
        <x:v>2025-12 rank2; 2026-05 rank3</x:v>
      </x:c>
      <x:c r="X240" s="15" t="str">
        <x:v>같은 플랫폼의 다른 월에 존재. 장기 집행/재노출 가능성이 있어 월 보정 또는 반복 편성 후보.</x:v>
      </x:c>
      <x:c r="Y240" s="15" t="str">
        <x:v>https://www.dramabox.com/drama/42000000606/His-Love-Was-A-Lie
https://www.reddit.com/r/ReelShorts/comments/1pcu1kb/his_love_was_a_lie/</x:v>
      </x:c>
      <x:c r="Z240" s="15" t="str">
        <x:v>기존 슬롯 강제 교체 전, 공식 페이지/광고 라이브러리/조회수 재확인.</x:v>
      </x:c>
    </x:row>
    <x:row r="241">
      <x:c r="A241" s="15" t="str">
        <x:v>L0240</x:v>
      </x:c>
      <x:c r="B241" s="15" t="str">
        <x:v>2026-02</x:v>
      </x:c>
      <x:c r="C241" s="15" t="str">
        <x:v>DramaBox</x:v>
      </x:c>
      <x:c r="D241" s="15" t="str">
        <x:v>Supplement_DOCX</x:v>
      </x:c>
      <x:c r="E241" s="15" t="str">
        <x:v>S</x:v>
      </x:c>
      <x:c r="F241" s="15" t="str">
        <x:v>Not in base same month</x:v>
      </x:c>
      <x:c r="G241" s="15" t="str">
        <x:v>Three Chances, I’m Gone Forever</x:v>
      </x:c>
      <x:c r="H241" s="15" t="str">
        <x:v>Three Chances, I’m Gone Forever</x:v>
      </x:c>
      <x:c r="I241" s="15" t="str">
        <x:v>Supplement; AIGC flag parsed from title/logline</x:v>
      </x:c>
      <x:c r="J241" s="15" t="str">
        <x:v>Not flagged</x:v>
      </x:c>
      <x:c r="K241" s="15" t="str">
        <x:v>Female / Romance</x:v>
      </x:c>
      <x:c r="L241" s="15" t="str">
        <x:v>regret, dignity, billionaire comeback</x:v>
      </x:c>
      <x:c r="M241" s="15" t="str">
        <x:v>Revenge/regret payoff + High-status partner/authority</x:v>
      </x:c>
      <x:c r="N241" s="15" t="str">
        <x:v>굴욕/배신 후 첫 반격을 예고하고 본격 응징은 지연</x:v>
      </x:c>
      <x:c r="O241" s="15" t="str">
        <x:v>Medium-High: 압도적 외모·의상·공간 미감으로 실사형 보상 강화</x:v>
      </x:c>
      <x:c r="P241" s="15" t="str">
        <x:v>후회 남편 버리기+재혼 역습이라는 가장 검증된 감정 축. 태그: regret, dignity, billionaire comeback.</x:v>
      </x:c>
      <x:c r="Q241" s="15" t="str">
        <x:v>보강자료 기반</x:v>
      </x:c>
      <x:c r="R241" s="15" t="str">
        <x:v>정량치는 미상이지만, DramaBox 내 유사 감정구조가 반복 노출되는 점 때문에 “no-budget 라이브러리 기본 안전자산”으로 평가된다.</x:v>
      </x:c>
      <x:c r="S241" s="15" t="str">
        <x:v>B / Useful verified</x:v>
      </x:c>
      <x:c r="T241" s="18" t="n">
        <x:v>73</x:v>
      </x:c>
      <x:c r="U241" s="15" t="str">
        <x:v>B_Strong</x:v>
      </x:c>
      <x:c r="V241" s="15" t="str">
        <x:v>ADD_AS_PARALLEL_REFERENCE</x:v>
      </x:c>
      <x:c r="W241" s="15" t="str"/>
      <x:c r="X241" s="15" t="str">
        <x:v>현행 시트에 없는 보강자료 후보. 완전 삭제형 교체보다 라이브러리 보강 행으로 추가하는 편이 안전.</x:v>
      </x:c>
      <x:c r="Y241" s="15" t="str">
        <x:v>https://www.dramabox.com/drama/41000118844/Three-Chances-Im-Gone-Forever
https://www.dramabox.com/drama/41000113452/Three-Chances-Then-Goodbye</x:v>
      </x:c>
      <x:c r="Z241" s="15" t="str">
        <x:v>기존 슬롯 강제 교체 전, 공식 페이지/광고 라이브러리/조회수 재확인.</x:v>
      </x:c>
    </x:row>
    <x:row r="242">
      <x:c r="A242" s="15" t="str">
        <x:v>L0241</x:v>
      </x:c>
      <x:c r="B242" s="15" t="str">
        <x:v>2026-03</x:v>
      </x:c>
      <x:c r="C242" s="15" t="str">
        <x:v>DramaBox</x:v>
      </x:c>
      <x:c r="D242" s="15" t="str">
        <x:v>Supplement_DOCX</x:v>
      </x:c>
      <x:c r="E242" s="15" t="str">
        <x:v>S</x:v>
      </x:c>
      <x:c r="F242" s="15" t="str">
        <x:v>Not in base same month</x:v>
      </x:c>
      <x:c r="G242" s="15" t="str">
        <x:v>I Went to the Mafia Boss for a Baby</x:v>
      </x:c>
      <x:c r="H242" s="15" t="str">
        <x:v>I Went to the Mafia Boss for a Baby</x:v>
      </x:c>
      <x:c r="I242" s="15" t="str">
        <x:v>Supplement; AIGC flag parsed from title/logline</x:v>
      </x:c>
      <x:c r="J242" s="15" t="str">
        <x:v>Not flagged</x:v>
      </x:c>
      <x:c r="K242" s="15" t="str">
        <x:v>Female / Family-romance</x:v>
      </x:c>
      <x:c r="L242" s="15" t="str">
        <x:v>mafia, baby mission</x:v>
      </x:c>
      <x:c r="M242" s="15" t="str">
        <x:v>High-status partner/authority + Child/family reunion + Progression/spectacle</x:v>
      </x:c>
      <x:c r="N242" s="15" t="str">
        <x:v>혈연/아이 진실을 반쯤 드러내고 대면·인정은 지연</x:v>
      </x:c>
      <x:c r="O242" s="15" t="str">
        <x:v>Medium-High: 압도적 외모·의상·공간 미감으로 실사형 보상 강화</x:v>
      </x:c>
      <x:c r="P242" s="15" t="str">
        <x:v>제목상 “아기를 원해 마피아 보스를 찾는” 하이콘셉트 멜로. 공식 검색 스니펫에서 상세 줄거리는 미상. 태그: mafia, baby mission.</x:v>
      </x:c>
      <x:c r="Q242" s="15" t="str">
        <x:v>보강자료 기반</x:v>
      </x:c>
      <x:c r="R242" s="15" t="str">
        <x:v>성과 지표 미상. 다만 2026년 봄 DramaBox 홈/추천 슬롯이 재벌·마피아·육아 훅 쪽으로 계속 유지된다는 점은 확인 가능하다.</x:v>
      </x:c>
      <x:c r="S242" s="15" t="str">
        <x:v>B / Useful verified</x:v>
      </x:c>
      <x:c r="T242" s="18" t="n">
        <x:v>73</x:v>
      </x:c>
      <x:c r="U242" s="15" t="str">
        <x:v>B_Strong</x:v>
      </x:c>
      <x:c r="V242" s="15" t="str">
        <x:v>ADD_AS_PARALLEL_REFERENCE</x:v>
      </x:c>
      <x:c r="W242" s="15" t="str"/>
      <x:c r="X242" s="15" t="str">
        <x:v>현행 시트에 없는 보강자료 후보. 완전 삭제형 교체보다 라이브러리 보강 행으로 추가하는 편이 안전.</x:v>
      </x:c>
      <x:c r="Y242" s="15" t="str">
        <x:v>https://www.dramabox.com/drama/42000007197/I-Went-to-the-Mafia-Boss-for-a-Baby</x:v>
      </x:c>
      <x:c r="Z242" s="15" t="str">
        <x:v>기존 슬롯 강제 교체 전, 공식 페이지/광고 라이브러리/조회수 재확인.</x:v>
      </x:c>
    </x:row>
    <x:row r="243">
      <x:c r="A243" s="15" t="str">
        <x:v>L0242</x:v>
      </x:c>
      <x:c r="B243" s="15" t="str">
        <x:v>2026-05</x:v>
      </x:c>
      <x:c r="C243" s="15" t="str">
        <x:v>DramaBox</x:v>
      </x:c>
      <x:c r="D243" s="15" t="str">
        <x:v>Supplement_DOCX</x:v>
      </x:c>
      <x:c r="E243" s="15" t="str">
        <x:v>S</x:v>
      </x:c>
      <x:c r="F243" s="15" t="str">
        <x:v>Exists in another month</x:v>
      </x:c>
      <x:c r="G243" s="15" t="str">
        <x:v>Faking It with the Hockey Captain</x:v>
      </x:c>
      <x:c r="H243" s="15" t="str">
        <x:v>Faking It with the Hockey Captain</x:v>
      </x:c>
      <x:c r="I243" s="15" t="str">
        <x:v>Supplement; AIGC flag parsed from title/logline</x:v>
      </x:c>
      <x:c r="J243" s="15" t="str">
        <x:v>Not flagged</x:v>
      </x:c>
      <x:c r="K243" s="15" t="str">
        <x:v>Female / Romance</x:v>
      </x:c>
      <x:c r="L243" s="15" t="str">
        <x:v>Supplemental / see logline</x:v>
      </x:c>
      <x:c r="M243" s="15" t="str">
        <x:v>Hidden-identity reveal + High-status partner/authority + Campus/sports heat</x:v>
      </x:c>
      <x:c r="N243" s="15" t="str">
        <x:v>강한 케미·보호/소유 신호를 주되 감정 확정은 지연</x:v>
      </x:c>
      <x:c r="O243" s="15" t="str">
        <x:v>Medium: 광고 컷·후킹 이미지 보강용</x:v>
      </x:c>
      <x:c r="P243" s="15" t="str">
        <x:v>4월말~5월초 론칭 초반 러시가 강한 작품. 로그라인/태그 동일.</x:v>
      </x:c>
      <x:c r="Q243" s="15" t="str">
        <x:v>보강자료 기반</x:v>
      </x:c>
      <x:c r="R243" s="15" t="str">
        <x:v>Reddit DM 요청이 폭증하는 전형적인 “광고로 깨고 들어온” 초기 확산 패턴을 보였다. 5월 슬롯에서는 가장 즉각적 CTR형 카드다.</x:v>
      </x:c>
      <x:c r="S243" s="15" t="str">
        <x:v>B / Useful verified</x:v>
      </x:c>
      <x:c r="T243" s="18" t="n">
        <x:v>73</x:v>
      </x:c>
      <x:c r="U243" s="15" t="str">
        <x:v>B_Strong</x:v>
      </x:c>
      <x:c r="V243" s="15" t="str">
        <x:v>ADD_AS_MONTH_REPEAT_OR_REALIGN</x:v>
      </x:c>
      <x:c r="W243" s="15" t="str">
        <x:v>2026-04 rank1</x:v>
      </x:c>
      <x:c r="X243" s="15" t="str">
        <x:v>같은 플랫폼의 다른 월에 존재. 장기 집행/재노출 가능성이 있어 월 보정 또는 반복 편성 후보.</x:v>
      </x:c>
      <x:c r="Y243" s="15" t="str">
        <x:v>https://www.dramabox.com/drama/42000010167/Faking-It-with-the-Hockey-Captain
https://www.reddit.com/r/ReelShorts/comments/1t9r7nh/faking_it_with_the_hockey_captain/</x:v>
      </x:c>
      <x:c r="Z243" s="15" t="str">
        <x:v>기존 슬롯 강제 교체 전, 공식 페이지/광고 라이브러리/조회수 재확인.</x:v>
      </x:c>
    </x:row>
    <x:row r="244">
      <x:c r="A244" s="15" t="str">
        <x:v>L0243</x:v>
      </x:c>
      <x:c r="B244" s="15" t="str">
        <x:v>2025-06</x:v>
      </x:c>
      <x:c r="C244" s="15" t="str">
        <x:v>GoodShort</x:v>
      </x:c>
      <x:c r="D244" s="15" t="str">
        <x:v>Supplement_DOCX</x:v>
      </x:c>
      <x:c r="E244" s="15" t="str">
        <x:v>S</x:v>
      </x:c>
      <x:c r="F244" s="15" t="str">
        <x:v>Not in base same month</x:v>
      </x:c>
      <x:c r="G244" s="15" t="str">
        <x:v>An Unreliable Guide on Dating Your CEO</x:v>
      </x:c>
      <x:c r="H244" s="15" t="str">
        <x:v>An Unreliable Guide on Dating Your CEO</x:v>
      </x:c>
      <x:c r="I244" s="15" t="str">
        <x:v>Supplement; AIGC flag parsed from title/logline</x:v>
      </x:c>
      <x:c r="J244" s="15" t="str">
        <x:v>Not flagged</x:v>
      </x:c>
      <x:c r="K244" s="15" t="str">
        <x:v>Female / Romance</x:v>
      </x:c>
      <x:c r="L244" s="15" t="str">
        <x:v>Sweet, Office Romance, CEO, Blind Date</x:v>
      </x:c>
      <x:c r="M244" s="15" t="str">
        <x:v>High-status partner/authority</x:v>
      </x:c>
      <x:c r="N244" s="15" t="str">
        <x:v>강한 케미·보호/소유 신호를 주되 감정 확정은 지연</x:v>
      </x:c>
      <x:c r="O244" s="15" t="str">
        <x:v>Medium-High: 압도적 외모·의상·공간 미감으로 실사형 보상 강화</x:v>
      </x:c>
      <x:c r="P244" s="15" t="str">
        <x:v>사기당해 빚만 남은 리사가 친구 대신 선 남자와 만나려다, 그가 자기 CEO라는 걸 알게 되며 이중생활 로맨스를 벌이는 작품. 태그: Sweet, Office Romance, CEO, Blind Date.</x:v>
      </x:c>
      <x:c r="Q244" s="15" t="str">
        <x:v>보강자료 기반</x:v>
      </x:c>
      <x:c r="R244" s="15" t="str">
        <x:v>장수 캐리형 오피스 멜로 슬롯. 공개 커뮤니티 반응 지표는 미상이나 2026년 추천 체인에 계속 남아 있다.</x:v>
      </x:c>
      <x:c r="S244" s="15" t="str">
        <x:v>B / Useful verified</x:v>
      </x:c>
      <x:c r="T244" s="18" t="n">
        <x:v>73</x:v>
      </x:c>
      <x:c r="U244" s="15" t="str">
        <x:v>B_Strong</x:v>
      </x:c>
      <x:c r="V244" s="15" t="str">
        <x:v>ADD_AS_PARALLEL_REFERENCE</x:v>
      </x:c>
      <x:c r="W244" s="15" t="str"/>
      <x:c r="X244" s="15" t="str">
        <x:v>현행 시트에 없는 보강자료 후보. 완전 삭제형 교체보다 라이브러리 보강 행으로 추가하는 편이 안전.</x:v>
      </x:c>
      <x:c r="Y244" s="15" t="str">
        <x:v>https://www.goodshort.com/drama/an-unreliable-guide-on-dating-your-ceo-31000786234</x:v>
      </x:c>
      <x:c r="Z244" s="15" t="str">
        <x:v>기존 슬롯 강제 교체 전, 공식 페이지/광고 라이브러리/조회수 재확인.</x:v>
      </x:c>
    </x:row>
    <x:row r="245">
      <x:c r="A245" s="15" t="str">
        <x:v>L0244</x:v>
      </x:c>
      <x:c r="B245" s="15" t="str">
        <x:v>2025-07</x:v>
      </x:c>
      <x:c r="C245" s="15" t="str">
        <x:v>GoodShort</x:v>
      </x:c>
      <x:c r="D245" s="15" t="str">
        <x:v>Supplement_DOCX</x:v>
      </x:c>
      <x:c r="E245" s="15" t="str">
        <x:v>S</x:v>
      </x:c>
      <x:c r="F245" s="15" t="str">
        <x:v>Not in base same month</x:v>
      </x:c>
      <x:c r="G245" s="15" t="str">
        <x:v>Mistaken Encounter, Unexpected Love</x:v>
      </x:c>
      <x:c r="H245" s="15" t="str">
        <x:v>Mistaken Encounter, Unexpected Love</x:v>
      </x:c>
      <x:c r="I245" s="15" t="str">
        <x:v>Supplement; AIGC flag parsed from title/logline</x:v>
      </x:c>
      <x:c r="J245" s="15" t="str">
        <x:v>Not flagged</x:v>
      </x:c>
      <x:c r="K245" s="15" t="str">
        <x:v>Female / Romance</x:v>
      </x:c>
      <x:c r="L245" s="15" t="str">
        <x:v>Marriage, Destiny, CEO, Love Triangle</x:v>
      </x:c>
      <x:c r="M245" s="15" t="str">
        <x:v>Revenge/regret payoff + High-status partner/authority</x:v>
      </x:c>
      <x:c r="N245" s="15" t="str">
        <x:v>강한 케미·보호/소유 신호를 주되 감정 확정은 지연</x:v>
      </x:c>
      <x:c r="O245" s="15" t="str">
        <x:v>Medium-High: 압도적 외모·의상·공간 미감으로 실사형 보상 강화</x:v>
      </x:c>
      <x:c r="P245" s="15" t="str">
        <x:v>배반과 실연을 겪은 두 여행자가 술김에 하룻밤을 보낸 뒤, 임신과 재회로 연결되는 운명 로맨스. 태그: Marriage, Destiny, CEO, Love Triangle.</x:v>
      </x:c>
      <x:c r="Q245" s="15" t="str">
        <x:v>보강자료 기반</x:v>
      </x:c>
      <x:c r="R245" s="15" t="str">
        <x:v>GoodShort 내 추천 체인에서 오래 살아남은 결혼/운명형 스테디셀러다. 정량치는 미상.</x:v>
      </x:c>
      <x:c r="S245" s="15" t="str">
        <x:v>B / Useful verified</x:v>
      </x:c>
      <x:c r="T245" s="18" t="n">
        <x:v>73</x:v>
      </x:c>
      <x:c r="U245" s="15" t="str">
        <x:v>B_Strong</x:v>
      </x:c>
      <x:c r="V245" s="15" t="str">
        <x:v>ADD_AS_PARALLEL_REFERENCE</x:v>
      </x:c>
      <x:c r="W245" s="15" t="str"/>
      <x:c r="X245" s="15" t="str">
        <x:v>현행 시트에 없는 보강자료 후보. 완전 삭제형 교체보다 라이브러리 보강 행으로 추가하는 편이 안전.</x:v>
      </x:c>
      <x:c r="Y245" s="15" t="str">
        <x:v>https://www.goodshort.com/drama/mistaken-encounter-unexpected-love-31000753863</x:v>
      </x:c>
      <x:c r="Z245" s="15" t="str">
        <x:v>기존 슬롯 강제 교체 전, 공식 페이지/광고 라이브러리/조회수 재확인.</x:v>
      </x:c>
    </x:row>
    <x:row r="246">
      <x:c r="A246" s="15" t="str">
        <x:v>L0245</x:v>
      </x:c>
      <x:c r="B246" s="15" t="str">
        <x:v>2025-08</x:v>
      </x:c>
      <x:c r="C246" s="15" t="str">
        <x:v>GoodShort</x:v>
      </x:c>
      <x:c r="D246" s="15" t="str">
        <x:v>Supplement_DOCX</x:v>
      </x:c>
      <x:c r="E246" s="15" t="str">
        <x:v>S</x:v>
      </x:c>
      <x:c r="F246" s="15" t="str">
        <x:v>Not in base same month</x:v>
      </x:c>
      <x:c r="G246" s="15" t="str">
        <x:v>A Blind Date with my Mr. Meant-to-Be</x:v>
      </x:c>
      <x:c r="H246" s="15" t="str">
        <x:v>A Blind Date with my Mr. Meant-to-Be</x:v>
      </x:c>
      <x:c r="I246" s="15" t="str">
        <x:v>Supplement; AIGC flag parsed from title/logline</x:v>
      </x:c>
      <x:c r="J246" s="15" t="str">
        <x:v>Not flagged</x:v>
      </x:c>
      <x:c r="K246" s="15" t="str">
        <x:v>Family regret / mixed</x:v>
      </x:c>
      <x:c r="L246" s="15" t="str">
        <x:v>Little Cupids, Sweet, Destiny, Cute Kids</x:v>
      </x:c>
      <x:c r="M246" s="15" t="str">
        <x:v>Child/family reunion</x:v>
      </x:c>
      <x:c r="N246" s="15" t="str">
        <x:v>무료부에서는 결핍과 예고, 유료부에서는 보상/진실/역전</x:v>
      </x:c>
      <x:c r="O246" s="15" t="str">
        <x:v>Medium: 아이/가족 감정은 직관화하되 섬세한 연기는 과신 금지</x:v>
      </x:c>
      <x:c r="P246" s="15" t="str">
        <x:v>딸을 잃은 싱글맘 제시카가 우연히 억만장자 제임스와 결혼하고, 그의 양녀가 사실 자신의 친딸이라는 걸 알게 되는 재회물. 태그: Little Cupids, Sweet, Destiny, Cute Kids.</x:v>
      </x:c>
      <x:c r="Q246" s="15" t="str">
        <x:v>보강자료 기반</x:v>
      </x:c>
      <x:c r="R246" s="15" t="str">
        <x:v>GoodShort 공식 수치가 22.7M views / 2.6M followers다. 2025-08-06 에피소드 인덱싱이 확인된다.</x:v>
      </x:c>
      <x:c r="S246" s="15" t="str">
        <x:v>A / Strong verified</x:v>
      </x:c>
      <x:c r="T246" s="18" t="n">
        <x:v>100</x:v>
      </x:c>
      <x:c r="U246" s="15" t="str">
        <x:v>A_Core</x:v>
      </x:c>
      <x:c r="V246" s="15" t="str">
        <x:v>ADD_AND_OPTIONALLY_REPLACE_WEAK_SLOT</x:v>
      </x:c>
      <x:c r="W246" s="15" t="str">
        <x:v>Transcendence (rank 3, Low)</x:v>
      </x:c>
      <x:c r="X246" s="15" t="str">
        <x:v>동월 약한 슬롯 대체 가능. 다만 보강자료도 공식 월간 차트가 아니므로 최종 행에서는 추가형으로 보존.</x:v>
      </x:c>
      <x:c r="Y246" s="15" t="str">
        <x:v>https://www.goodshort.com/drama/a-blind-date-with-my-mr-meant-to-be-31000991502</x:v>
      </x:c>
      <x:c r="Z246" s="15" t="str">
        <x:v>기존 슬롯 강제 교체 전, 공식 페이지/광고 라이브러리/조회수 재확인.</x:v>
      </x:c>
    </x:row>
    <x:row r="247">
      <x:c r="A247" s="15" t="str">
        <x:v>L0246</x:v>
      </x:c>
      <x:c r="B247" s="15" t="str">
        <x:v>2025-10</x:v>
      </x:c>
      <x:c r="C247" s="15" t="str">
        <x:v>GoodShort</x:v>
      </x:c>
      <x:c r="D247" s="15" t="str">
        <x:v>Supplement_DOCX</x:v>
      </x:c>
      <x:c r="E247" s="15" t="str">
        <x:v>S</x:v>
      </x:c>
      <x:c r="F247" s="15" t="str">
        <x:v>Not in base same month</x:v>
      </x:c>
      <x:c r="G247" s="15" t="str">
        <x:v>Straight Until He Kissed Me</x:v>
      </x:c>
      <x:c r="H247" s="15" t="str">
        <x:v>Straight Until He Kissed Me</x:v>
      </x:c>
      <x:c r="I247" s="15" t="str">
        <x:v>Supplement; AIGC flag parsed from title/logline</x:v>
      </x:c>
      <x:c r="J247" s="15" t="str">
        <x:v>Not flagged</x:v>
      </x:c>
      <x:c r="K247" s="15" t="str">
        <x:v>BL/Queer</x:v>
      </x:c>
      <x:c r="L247" s="15" t="str">
        <x:v>Gay, fake affair, CEO, kiss-flip</x:v>
      </x:c>
      <x:c r="M247" s="15" t="str">
        <x:v>Revenge/regret payoff + High-status partner/authority</x:v>
      </x:c>
      <x:c r="N247" s="15" t="str">
        <x:v>강한 케미·보호/소유 신호를 주되 감정 확정은 지연</x:v>
      </x:c>
      <x:c r="O247" s="15" t="str">
        <x:v>Medium-High: 압도적 외모·의상·공간 미감으로 실사형 보상 강화</x:v>
      </x:c>
      <x:c r="P247" s="15" t="str">
        <x:v>의대생 마일스가 여자친구의 외도를 목격한 뒤 복수용 “가짜 불륜”을 연출하다 잘생긴 CEO 헌터와 진짜 감정에 빠지는 BL 로맨스. 태그: Gay, fake affair, CEO, kiss-flip.</x:v>
      </x:c>
      <x:c r="Q247" s="15" t="str">
        <x:v>보강자료 기반</x:v>
      </x:c>
      <x:c r="R247" s="15" t="str">
        <x:v>Reddit 대표 반응은 “I bought a subscription to watch the whole thing in one go and it was worth it.” BL/퀴어 확장 슬롯에서 강한 체감 흡입력을 보였다.</x:v>
      </x:c>
      <x:c r="S247" s="15" t="str">
        <x:v>B / Useful verified</x:v>
      </x:c>
      <x:c r="T247" s="18" t="n">
        <x:v>81</x:v>
      </x:c>
      <x:c r="U247" s="15" t="str">
        <x:v>B_Strong</x:v>
      </x:c>
      <x:c r="V247" s="15" t="str">
        <x:v>ADD_AND_OPTIONALLY_REPLACE_WEAK_SLOT</x:v>
      </x:c>
      <x:c r="W247" s="15" t="str">
        <x:v>I Accidentally Hired a Billionaire Husband (rank 3, Low)</x:v>
      </x:c>
      <x:c r="X247" s="15" t="str">
        <x:v>동월 약한 슬롯 대체 가능. 다만 보강자료도 공식 월간 차트가 아니므로 최종 행에서는 추가형으로 보존.</x:v>
      </x:c>
      <x:c r="Y247" s="15" t="str">
        <x:v>https://www.goodshort.com/drama/straight-until-he-kissed-me-31001108367
https://www.reddit.com/r/boyslove/comments/1ndlxhl/straight_until_he_kissed_me_goodshort/</x:v>
      </x:c>
      <x:c r="Z247" s="15" t="str">
        <x:v>기존 슬롯 강제 교체 전, 공식 페이지/광고 라이브러리/조회수 재확인.</x:v>
      </x:c>
    </x:row>
    <x:row r="248">
      <x:c r="A248" s="15" t="str">
        <x:v>L0247</x:v>
      </x:c>
      <x:c r="B248" s="15" t="str">
        <x:v>2026-01</x:v>
      </x:c>
      <x:c r="C248" s="15" t="str">
        <x:v>GoodShort</x:v>
      </x:c>
      <x:c r="D248" s="15" t="str">
        <x:v>Supplement_DOCX</x:v>
      </x:c>
      <x:c r="E248" s="15" t="str">
        <x:v>S</x:v>
      </x:c>
      <x:c r="F248" s="15" t="str">
        <x:v>Not in base same month</x:v>
      </x:c>
      <x:c r="G248" s="15" t="str">
        <x:v>My Marriage Comes With Secrets</x:v>
      </x:c>
      <x:c r="H248" s="15" t="str">
        <x:v>My Marriage Comes With Secrets</x:v>
      </x:c>
      <x:c r="I248" s="15" t="str">
        <x:v>Supplement; AIGC flag parsed from title/logline</x:v>
      </x:c>
      <x:c r="J248" s="15" t="str">
        <x:v>Not flagged</x:v>
      </x:c>
      <x:c r="K248" s="15" t="str">
        <x:v>Female / Romance</x:v>
      </x:c>
      <x:c r="L248" s="15" t="str">
        <x:v>Sweet, marriage first love later, CEO</x:v>
      </x:c>
      <x:c r="M248" s="15" t="str">
        <x:v>Hidden-identity reveal + High-status partner/authority</x:v>
      </x:c>
      <x:c r="N248" s="15" t="str">
        <x:v>정체/권력 공개 직전까지 결핍·오해를 누적</x:v>
      </x:c>
      <x:c r="O248" s="15" t="str">
        <x:v>Medium-High: 압도적 외모·의상·공간 미감으로 실사형 보상 강화</x:v>
      </x:c>
      <x:c r="P248" s="15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Q248" s="15" t="str">
        <x:v>보강자료 기반</x:v>
      </x:c>
      <x:c r="R248" s="15" t="str">
        <x:v>2026-01-08 공개가 잡힌다. 정량치는 미상이지만, “결혼부터 하고 사랑은 나중” 구조가 GoodShort 핵심 문법과 잘 맞는다.</x:v>
      </x:c>
      <x:c r="S248" s="15" t="str">
        <x:v>B / Useful verified</x:v>
      </x:c>
      <x:c r="T248" s="18" t="n">
        <x:v>73</x:v>
      </x:c>
      <x:c r="U248" s="15" t="str">
        <x:v>B_Strong</x:v>
      </x:c>
      <x:c r="V248" s="15" t="str">
        <x:v>ADD_AS_PARALLEL_REFERENCE</x:v>
      </x:c>
      <x:c r="W248" s="15" t="str"/>
      <x:c r="X248" s="15" t="str">
        <x:v>현행 시트에 없는 보강자료 후보. 완전 삭제형 교체보다 라이브러리 보강 행으로 추가하는 편이 안전.</x:v>
      </x:c>
      <x:c r="Y248" s="15" t="str">
        <x:v>https://www.goodshort.com/drama/my-marriage-comes-with-secrets-31001244320</x:v>
      </x:c>
      <x:c r="Z248" s="15" t="str">
        <x:v>기존 슬롯 강제 교체 전, 공식 페이지/광고 라이브러리/조회수 재확인.</x:v>
      </x:c>
    </x:row>
    <x:row r="249">
      <x:c r="A249" s="15" t="str">
        <x:v>L0248</x:v>
      </x:c>
      <x:c r="B249" s="15" t="str">
        <x:v>2026-02</x:v>
      </x:c>
      <x:c r="C249" s="15" t="str">
        <x:v>GoodShort</x:v>
      </x:c>
      <x:c r="D249" s="15" t="str">
        <x:v>Supplement_DOCX</x:v>
      </x:c>
      <x:c r="E249" s="15" t="str">
        <x:v>S</x:v>
      </x:c>
      <x:c r="F249" s="15" t="str">
        <x:v>Not in base same month</x:v>
      </x:c>
      <x:c r="G249" s="15" t="str">
        <x:v>The Romance System in a Dead World</x:v>
      </x:c>
      <x:c r="H249" s="15" t="str">
        <x:v>The Romance System in a Dead World</x:v>
      </x:c>
      <x:c r="I249" s="15" t="str">
        <x:v>Supplement; AIGC flag parsed from title/logline</x:v>
      </x:c>
      <x:c r="J249" s="15" t="str">
        <x:v>AIGC-friendly genre</x:v>
      </x:c>
      <x:c r="K249" s="15" t="str">
        <x:v>Male / Power fantasy</x:v>
      </x:c>
      <x:c r="L249" s="15" t="str">
        <x:v>Fantasy, system, apocalypse</x:v>
      </x:c>
      <x:c r="M249" s="15" t="str">
        <x:v>Progression/spectacle</x:v>
      </x:c>
      <x:c r="N249" s="15" t="str">
        <x:v>첫 각성·첫 스킬만 보여주고 상위 보스/진짜 권위는 유료부로 이월</x:v>
      </x:c>
      <x:c r="O249" s="15" t="str">
        <x:v>High: VFX·세계관·시스템 UI·비현실 스케일을 직접 보상화</x:v>
      </x:c>
      <x:c r="P249" s="15" t="str">
        <x:v>멸망 세계에서 주인공이 남자 파티를 거느리고 전 약혼자와 집안을 내려다보는 시스템/포스트아포칼립스 역습물. 태그: Fantasy, system, apocalypse.</x:v>
      </x:c>
      <x:c r="Q249" s="15" t="str">
        <x:v>보강자료 기반</x:v>
      </x:c>
      <x:c r="R249" s="15" t="str">
        <x:v>2026-02-23 공개. 실사 멜로에서 한 단계 벗어난 ‘게임 시스템+여성향’ 변주 슬롯으로 유용하다.</x:v>
      </x:c>
      <x:c r="S249" s="15" t="str">
        <x:v>B / Useful verified</x:v>
      </x:c>
      <x:c r="T249" s="18" t="n">
        <x:v>73</x:v>
      </x:c>
      <x:c r="U249" s="15" t="str">
        <x:v>B_Strong</x:v>
      </x:c>
      <x:c r="V249" s="15" t="str">
        <x:v>ADD_AND_OPTIONALLY_REPLACE_WEAK_SLOT</x:v>
      </x:c>
      <x:c r="W249" s="15" t="str">
        <x:v>Blooming Under Your Love (rank 5, Low)</x:v>
      </x:c>
      <x:c r="X249" s="15" t="str">
        <x:v>동월 약한 슬롯 대체 가능. 다만 보강자료도 공식 월간 차트가 아니므로 최종 행에서는 추가형으로 보존.</x:v>
      </x:c>
      <x:c r="Y249" s="15" t="str">
        <x:v>https://www.goodshort.com/drama/eng-dub-the-romance-system-in-a-dead-world-31001305309</x:v>
      </x:c>
      <x:c r="Z249" s="15" t="str">
        <x:v>기존 슬롯 강제 교체 전, 공식 페이지/광고 라이브러리/조회수 재확인.</x:v>
      </x:c>
    </x:row>
    <x:row r="250">
      <x:c r="A250" s="15" t="str">
        <x:v>L0249</x:v>
      </x:c>
      <x:c r="B250" s="15" t="str">
        <x:v>2026-03</x:v>
      </x:c>
      <x:c r="C250" s="15" t="str">
        <x:v>GoodShort</x:v>
      </x:c>
      <x:c r="D250" s="15" t="str">
        <x:v>Supplement_DOCX</x:v>
      </x:c>
      <x:c r="E250" s="15" t="str">
        <x:v>S</x:v>
      </x:c>
      <x:c r="F250" s="15" t="str">
        <x:v>Not in base same month</x:v>
      </x:c>
      <x:c r="G250" s="15" t="str">
        <x:v>Too Late, Alphas</x:v>
      </x:c>
      <x:c r="H250" s="15" t="str">
        <x:v>Too Late, Alphas</x:v>
      </x:c>
      <x:c r="I250" s="15" t="str">
        <x:v>Supplement; AIGC flag parsed from title/logline</x:v>
      </x:c>
      <x:c r="J250" s="15" t="str">
        <x:v>Not flagged</x:v>
      </x:c>
      <x:c r="K250" s="15" t="str">
        <x:v>Female / Family-romance</x:v>
      </x:c>
      <x:c r="L250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0" s="15" t="str">
        <x:v>Revenge/regret payoff + High-status partner/authority + Child/family reunion</x:v>
      </x:c>
      <x:c r="N250" s="15" t="str">
        <x:v>굴욕/배신 후 첫 반격을 예고하고 본격 응징은 지연</x:v>
      </x:c>
      <x:c r="O250" s="15" t="str">
        <x:v>Medium: 아이/가족 감정은 직관화하되 섬세한 연기는 과신 금지</x:v>
      </x:c>
      <x:c r="P250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0" s="15" t="str">
        <x:v>보강자료 기반</x:v>
      </x:c>
      <x:c r="R250" s="15" t="str">
        <x:v>① Reddit에선 이미 다중 플랫폼 시청/링크 대화가 붙었다. ② GoodShort 공식 Facebook이 2026-03-11 업로드로 밀었다. 두 작품 모두 3월의 핵심 여성향 후회·구원 슬롯.</x:v>
      </x:c>
      <x:c r="S250" s="15" t="str">
        <x:v>B / Useful verified</x:v>
      </x:c>
      <x:c r="T250" s="18" t="n">
        <x:v>81</x:v>
      </x:c>
      <x:c r="U250" s="15" t="str">
        <x:v>B_Strong</x:v>
      </x:c>
      <x:c r="V250" s="15" t="str">
        <x:v>ADD_AND_OPTIONALLY_REPLACE_WEAK_SLOT</x:v>
      </x:c>
      <x:c r="W250" s="15" t="str">
        <x:v>My Exclusive Wish Granter (rank 5, Medium)</x:v>
      </x:c>
      <x:c r="X250" s="15" t="str">
        <x:v>동월 약한 슬롯 대체 가능. 다만 보강자료도 공식 월간 차트가 아니므로 최종 행에서는 추가형으로 보존.</x:v>
      </x:c>
      <x:c r="Y250" s="15" t="str">
        <x:v>https://www.goodshort.com/drama/too-late-alphas-31001322440
https://www.reddit.com/r/Vertical_Dramas/comments/1r61bj0/too_late_alphas/</x:v>
      </x:c>
      <x:c r="Z250" s="15" t="str">
        <x:v>기존 슬롯 강제 교체 전, 공식 페이지/광고 라이브러리/조회수 재확인.</x:v>
      </x:c>
    </x:row>
    <x:row r="251">
      <x:c r="A251" s="15" t="str">
        <x:v>L0250</x:v>
      </x:c>
      <x:c r="B251" s="15" t="str">
        <x:v>2026-03</x:v>
      </x:c>
      <x:c r="C251" s="15" t="str">
        <x:v>GoodShort</x:v>
      </x:c>
      <x:c r="D251" s="15" t="str">
        <x:v>Supplement_DOCX</x:v>
      </x:c>
      <x:c r="E251" s="15" t="str">
        <x:v>S</x:v>
      </x:c>
      <x:c r="F251" s="15" t="str">
        <x:v>Not in base same month</x:v>
      </x:c>
      <x:c r="G251" s="15" t="str">
        <x:v>My New Daddy is a Five-Star General</x:v>
      </x:c>
      <x:c r="H251" s="15" t="str">
        <x:v>My New Daddy is a Five-Star General</x:v>
      </x:c>
      <x:c r="I251" s="15" t="str">
        <x:v>Supplement; AIGC flag parsed from title/logline</x:v>
      </x:c>
      <x:c r="J251" s="15" t="str">
        <x:v>Not flagged</x:v>
      </x:c>
      <x:c r="K251" s="15" t="str">
        <x:v>Family regret / mixed</x:v>
      </x:c>
      <x:c r="L251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1" s="15" t="str">
        <x:v>Revenge/regret payoff + High-status partner/authority + Child/family reunion</x:v>
      </x:c>
      <x:c r="N251" s="15" t="str">
        <x:v>굴욕/배신 후 첫 반격을 예고하고 본격 응징은 지연</x:v>
      </x:c>
      <x:c r="O251" s="15" t="str">
        <x:v>Medium: 아이/가족 감정은 직관화하되 섬세한 연기는 과신 금지</x:v>
      </x:c>
      <x:c r="P251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1" s="15" t="str">
        <x:v>보강자료 기반</x:v>
      </x:c>
      <x:c r="R251" s="15" t="str">
        <x:v>① Reddit에선 이미 다중 플랫폼 시청/링크 대화가 붙었다. ② GoodShort 공식 Facebook이 2026-03-11 업로드로 밀었다. 두 작품 모두 3월의 핵심 여성향 후회·구원 슬롯.</x:v>
      </x:c>
      <x:c r="S251" s="15" t="str">
        <x:v>B / Useful verified</x:v>
      </x:c>
      <x:c r="T251" s="18" t="n">
        <x:v>81</x:v>
      </x:c>
      <x:c r="U251" s="15" t="str">
        <x:v>B_Strong</x:v>
      </x:c>
      <x:c r="V251" s="15" t="str">
        <x:v>ADD_AND_OPTIONALLY_REPLACE_WEAK_SLOT</x:v>
      </x:c>
      <x:c r="W251" s="15" t="str">
        <x:v>My Exclusive Wish Granter (rank 5, Medium)</x:v>
      </x:c>
      <x:c r="X251" s="15" t="str">
        <x:v>동월 약한 슬롯 대체 가능. 다만 보강자료도 공식 월간 차트가 아니므로 최종 행에서는 추가형으로 보존.</x:v>
      </x:c>
      <x:c r="Y251" s="15" t="str">
        <x:v>https://www.goodshort.com/drama/too-late-alphas-31001322440
https://www.reddit.com/r/Vertical_Dramas/comments/1r61bj0/too_late_alphas/</x:v>
      </x:c>
      <x:c r="Z251" s="15" t="str">
        <x:v>기존 슬롯 강제 교체 전, 공식 페이지/광고 라이브러리/조회수 재확인.</x:v>
      </x:c>
    </x:row>
    <x:row r="252">
      <x:c r="A252" s="15" t="str">
        <x:v>L0251</x:v>
      </x:c>
      <x:c r="B252" s="15" t="str">
        <x:v>2026-04</x:v>
      </x:c>
      <x:c r="C252" s="15" t="str">
        <x:v>GoodShort</x:v>
      </x:c>
      <x:c r="D252" s="15" t="str">
        <x:v>Supplement_DOCX</x:v>
      </x:c>
      <x:c r="E252" s="15" t="str">
        <x:v>S</x:v>
      </x:c>
      <x:c r="F252" s="15" t="str">
        <x:v>Not in base same month</x:v>
      </x:c>
      <x:c r="G252" s="15" t="str">
        <x:v>Found A Homeless Genius To Save My Company</x:v>
      </x:c>
      <x:c r="H252" s="15" t="str">
        <x:v>Found A Homeless Genius To Save My Company</x:v>
      </x:c>
      <x:c r="I252" s="15" t="str">
        <x:v>Supplement; AIGC flag parsed from title/logline</x:v>
      </x:c>
      <x:c r="J252" s="15" t="str">
        <x:v>Not flagged</x:v>
      </x:c>
      <x:c r="K252" s="15" t="str">
        <x:v>Female / Family-romance</x:v>
      </x:c>
      <x:c r="L252" s="15" t="str">
        <x:v>revenge, underdog rise, CEO, business. ② 헤어진 연인이 아이들을 통해 다시 연결되는 가족 재회물. 태그: cute kids, family, second chance</x:v>
      </x:c>
      <x:c r="M252" s="15" t="str">
        <x:v>Revenge/regret payoff + High-status partner/authority + Child/family reunion</x:v>
      </x:c>
      <x:c r="N252" s="15" t="str">
        <x:v>굴욕/배신 후 첫 반격을 예고하고 본격 응징은 지연</x:v>
      </x:c>
      <x:c r="O252" s="15" t="str">
        <x:v>Medium-High: 압도적 외모·의상·공간 미감으로 실사형 보상 강화</x:v>
      </x:c>
      <x:c r="P252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2" s="15" t="str">
        <x:v>보강자료 기반</x:v>
      </x:c>
      <x:c r="R252" s="15" t="str">
        <x:v>두 작품 모두 2026년 봄 홈 최상단에 배치된 current push다. 정량치는 미상이지만 대가족·아이 훅이 강하다.</x:v>
      </x:c>
      <x:c r="S252" s="15" t="str">
        <x:v>B / Useful verified</x:v>
      </x:c>
      <x:c r="T252" s="18" t="n">
        <x:v>73</x:v>
      </x:c>
      <x:c r="U252" s="15" t="str">
        <x:v>B_Strong</x:v>
      </x:c>
      <x:c r="V252" s="15" t="str">
        <x:v>ADD_AS_PARALLEL_REFERENCE</x:v>
      </x:c>
      <x:c r="W252" s="15" t="str"/>
      <x:c r="X252" s="15" t="str">
        <x:v>현행 시트에 없는 보강자료 후보. 완전 삭제형 교체보다 라이브러리 보강 행으로 추가하는 편이 안전.</x:v>
      </x:c>
      <x:c r="Y252" s="15" t="str">
        <x:v>https://www.goodshort.com/</x:v>
      </x:c>
      <x:c r="Z252" s="15" t="str">
        <x:v>기존 슬롯 강제 교체 전, 공식 페이지/광고 라이브러리/조회수 재확인.</x:v>
      </x:c>
    </x:row>
    <x:row r="253">
      <x:c r="A253" s="15" t="str">
        <x:v>L0252</x:v>
      </x:c>
      <x:c r="B253" s="15" t="str">
        <x:v>2026-04</x:v>
      </x:c>
      <x:c r="C253" s="15" t="str">
        <x:v>GoodShort</x:v>
      </x:c>
      <x:c r="D253" s="15" t="str">
        <x:v>Supplement_DOCX</x:v>
      </x:c>
      <x:c r="E253" s="15" t="str">
        <x:v>S</x:v>
      </x:c>
      <x:c r="F253" s="15" t="str">
        <x:v>Not in base same month</x:v>
      </x:c>
      <x:c r="G253" s="15" t="str">
        <x:v>Mommy Hold On I Brought Daddy to Save You</x:v>
      </x:c>
      <x:c r="H253" s="15" t="str">
        <x:v>Mommy Hold On I Brought Daddy to Save You</x:v>
      </x:c>
      <x:c r="I253" s="15" t="str">
        <x:v>Supplement; AIGC flag parsed from title/logline</x:v>
      </x:c>
      <x:c r="J253" s="15" t="str">
        <x:v>Not flagged</x:v>
      </x:c>
      <x:c r="K253" s="15" t="str">
        <x:v>Female / Family-romance</x:v>
      </x:c>
      <x:c r="L253" s="15" t="str">
        <x:v>revenge, underdog rise, CEO, business. ② 헤어진 연인이 아이들을 통해 다시 연결되는 가족 재회물. 태그: cute kids, family, second chance</x:v>
      </x:c>
      <x:c r="M253" s="15" t="str">
        <x:v>Revenge/regret payoff + High-status partner/authority + Child/family reunion</x:v>
      </x:c>
      <x:c r="N253" s="15" t="str">
        <x:v>굴욕/배신 후 첫 반격을 예고하고 본격 응징은 지연</x:v>
      </x:c>
      <x:c r="O253" s="15" t="str">
        <x:v>Medium-High: 압도적 외모·의상·공간 미감으로 실사형 보상 강화</x:v>
      </x:c>
      <x:c r="P253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3" s="15" t="str">
        <x:v>보강자료 기반</x:v>
      </x:c>
      <x:c r="R253" s="15" t="str">
        <x:v>두 작품 모두 2026년 봄 홈 최상단에 배치된 current push다. 정량치는 미상이지만 대가족·아이 훅이 강하다.</x:v>
      </x:c>
      <x:c r="S253" s="15" t="str">
        <x:v>B / Useful verified</x:v>
      </x:c>
      <x:c r="T253" s="18" t="n">
        <x:v>73</x:v>
      </x:c>
      <x:c r="U253" s="15" t="str">
        <x:v>B_Strong</x:v>
      </x:c>
      <x:c r="V253" s="15" t="str">
        <x:v>ADD_AS_PARALLEL_REFERENCE</x:v>
      </x:c>
      <x:c r="W253" s="15" t="str"/>
      <x:c r="X253" s="15" t="str">
        <x:v>현행 시트에 없는 보강자료 후보. 완전 삭제형 교체보다 라이브러리 보강 행으로 추가하는 편이 안전.</x:v>
      </x:c>
      <x:c r="Y253" s="15" t="str">
        <x:v>https://www.goodshort.com/</x:v>
      </x:c>
      <x:c r="Z253" s="15" t="str">
        <x:v>기존 슬롯 강제 교체 전, 공식 페이지/광고 라이브러리/조회수 재확인.</x:v>
      </x:c>
    </x:row>
    <x:row r="254">
      <x:c r="A254" s="15" t="str">
        <x:v>L0253</x:v>
      </x:c>
      <x:c r="B254" s="15" t="str">
        <x:v>2026-05</x:v>
      </x:c>
      <x:c r="C254" s="15" t="str">
        <x:v>GoodShort</x:v>
      </x:c>
      <x:c r="D254" s="15" t="str">
        <x:v>Supplement_DOCX</x:v>
      </x:c>
      <x:c r="E254" s="15" t="str">
        <x:v>S</x:v>
      </x:c>
      <x:c r="F254" s="15" t="str">
        <x:v>Not in base same month</x:v>
      </x:c>
      <x:c r="G254" s="15" t="str">
        <x:v>Found A Homeless Genius To Save My Company</x:v>
      </x:c>
      <x:c r="H254" s="15" t="str">
        <x:v>Found A Homeless Genius To Save My Company</x:v>
      </x:c>
      <x:c r="I254" s="15" t="str">
        <x:v>Supplement; AIGC flag parsed from title/logline</x:v>
      </x:c>
      <x:c r="J254" s="15" t="str">
        <x:v>Not flagged</x:v>
      </x:c>
      <x:c r="K254" s="15" t="str">
        <x:v>Mixed / General</x:v>
      </x:c>
      <x:c r="L254" s="15" t="str">
        <x:v>Supplemental / see logline</x:v>
      </x:c>
      <x:c r="M254" s="15" t="str">
        <x:v>Core melodrama hook</x:v>
      </x:c>
      <x:c r="N254" s="15" t="str">
        <x:v>무료부에서는 결핍과 예고, 유료부에서는 보상/진실/역전</x:v>
      </x:c>
      <x:c r="O254" s="15" t="str">
        <x:v>Medium: 광고 컷·후킹 이미지 보강용</x:v>
      </x:c>
      <x:c r="P254" s="15" t="str">
        <x:v>4월과 같은 이유로 5월에도 유지 가치가 높다. 하나는 남성향 역습, 다른 하나는 키즈 매개 화해극이라 포트폴리오 분산에 좋다.</x:v>
      </x:c>
      <x:c r="Q254" s="15" t="str">
        <x:v>보강자료 기반</x:v>
      </x:c>
      <x:c r="R254" s="15" t="str">
        <x:v>GoodShort 홈 전면 노출 기준으로 5월까지도 라이브러리 메인 추천 카드로 적합하다.</x:v>
      </x:c>
      <x:c r="S254" s="15" t="str">
        <x:v>B / Useful verified</x:v>
      </x:c>
      <x:c r="T254" s="18" t="n">
        <x:v>73</x:v>
      </x:c>
      <x:c r="U254" s="15" t="str">
        <x:v>B_Strong</x:v>
      </x:c>
      <x:c r="V254" s="15" t="str">
        <x:v>ADD_AS_PARALLEL_REFERENCE</x:v>
      </x:c>
      <x:c r="W254" s="15" t="str"/>
      <x:c r="X254" s="15" t="str">
        <x:v>현행 시트에 없는 보강자료 후보. 완전 삭제형 교체보다 라이브러리 보강 행으로 추가하는 편이 안전.</x:v>
      </x:c>
      <x:c r="Y254" s="15" t="str">
        <x:v>https://www.goodshort.com/</x:v>
      </x:c>
      <x:c r="Z254" s="15" t="str">
        <x:v>기존 슬롯 강제 교체 전, 공식 페이지/광고 라이브러리/조회수 재확인.</x:v>
      </x:c>
    </x:row>
    <x:row r="255">
      <x:c r="A255" s="15" t="str">
        <x:v>L0254</x:v>
      </x:c>
      <x:c r="B255" s="15" t="str">
        <x:v>2026-05</x:v>
      </x:c>
      <x:c r="C255" s="15" t="str">
        <x:v>GoodShort</x:v>
      </x:c>
      <x:c r="D255" s="15" t="str">
        <x:v>Supplement_DOCX</x:v>
      </x:c>
      <x:c r="E255" s="15" t="str">
        <x:v>S</x:v>
      </x:c>
      <x:c r="F255" s="15" t="str">
        <x:v>Not in base same month</x:v>
      </x:c>
      <x:c r="G255" s="15" t="str">
        <x:v>Mommy Hold On I Brought Daddy to Save You</x:v>
      </x:c>
      <x:c r="H255" s="15" t="str">
        <x:v>Mommy Hold On I Brought Daddy to Save You</x:v>
      </x:c>
      <x:c r="I255" s="15" t="str">
        <x:v>Supplement; AIGC flag parsed from title/logline</x:v>
      </x:c>
      <x:c r="J255" s="15" t="str">
        <x:v>Not flagged</x:v>
      </x:c>
      <x:c r="K255" s="15" t="str">
        <x:v>Family regret / mixed</x:v>
      </x:c>
      <x:c r="L255" s="15" t="str">
        <x:v>Supplemental / see logline</x:v>
      </x:c>
      <x:c r="M255" s="15" t="str">
        <x:v>Child/family reunion</x:v>
      </x:c>
      <x:c r="N255" s="15" t="str">
        <x:v>혈연/아이 진실을 반쯤 드러내고 대면·인정은 지연</x:v>
      </x:c>
      <x:c r="O255" s="15" t="str">
        <x:v>Medium: 아이/가족 감정은 직관화하되 섬세한 연기는 과신 금지</x:v>
      </x:c>
      <x:c r="P255" s="15" t="str">
        <x:v>4월과 같은 이유로 5월에도 유지 가치가 높다. 하나는 남성향 역습, 다른 하나는 키즈 매개 화해극이라 포트폴리오 분산에 좋다.</x:v>
      </x:c>
      <x:c r="Q255" s="15" t="str">
        <x:v>보강자료 기반</x:v>
      </x:c>
      <x:c r="R255" s="15" t="str">
        <x:v>GoodShort 홈 전면 노출 기준으로 5월까지도 라이브러리 메인 추천 카드로 적합하다.</x:v>
      </x:c>
      <x:c r="S255" s="15" t="str">
        <x:v>B / Useful verified</x:v>
      </x:c>
      <x:c r="T255" s="18" t="n">
        <x:v>73</x:v>
      </x:c>
      <x:c r="U255" s="15" t="str">
        <x:v>B_Strong</x:v>
      </x:c>
      <x:c r="V255" s="15" t="str">
        <x:v>ADD_AS_PARALLEL_REFERENCE</x:v>
      </x:c>
      <x:c r="W255" s="15" t="str"/>
      <x:c r="X255" s="15" t="str">
        <x:v>현행 시트에 없는 보강자료 후보. 완전 삭제형 교체보다 라이브러리 보강 행으로 추가하는 편이 안전.</x:v>
      </x:c>
      <x:c r="Y255" s="15" t="str">
        <x:v>https://www.goodshort.com/</x:v>
      </x:c>
      <x:c r="Z255" s="15" t="str">
        <x:v>기존 슬롯 강제 교체 전, 공식 페이지/광고 라이브러리/조회수 재확인.</x:v>
      </x:c>
    </x:row>
    <x:row r="256">
      <x:c r="A256" s="15" t="str">
        <x:v>L0255</x:v>
      </x:c>
      <x:c r="B256" s="15" t="str">
        <x:v>2025-06</x:v>
      </x:c>
      <x:c r="C256" s="15" t="str">
        <x:v>NetShort</x:v>
      </x:c>
      <x:c r="D256" s="15" t="str">
        <x:v>Supplement_DOCX</x:v>
      </x:c>
      <x:c r="E256" s="15" t="str">
        <x:v>S</x:v>
      </x:c>
      <x:c r="F256" s="15" t="str">
        <x:v>Not in base same month</x:v>
      </x:c>
      <x:c r="G256" s="15" t="str">
        <x:v>Official Bride Pick: My Three Beauties</x:v>
      </x:c>
      <x:c r="H256" s="15" t="str">
        <x:v>Official Bride Pick: My Three Beauties</x:v>
      </x:c>
      <x:c r="I256" s="15" t="str">
        <x:v>Supplement; AIGC flag parsed from title/logline</x:v>
      </x:c>
      <x:c r="J256" s="15" t="str">
        <x:v>Not flagged</x:v>
      </x:c>
      <x:c r="K256" s="15" t="str">
        <x:v>Female / Romance</x:v>
      </x:c>
      <x:c r="L256" s="15" t="str">
        <x:v>romance, CEO, accident spark</x:v>
      </x:c>
      <x:c r="M256" s="15" t="str">
        <x:v>High-status partner/authority</x:v>
      </x:c>
      <x:c r="N256" s="15" t="str">
        <x:v>강한 케미·보호/소유 신호를 주되 감정 확정은 지연</x:v>
      </x:c>
      <x:c r="O256" s="15" t="str">
        <x:v>Medium-High: 압도적 외모·의상·공간 미감으로 실사형 보상 강화</x:v>
      </x:c>
      <x:c r="P256" s="15" t="str">
        <x:v>뜻밖의 사고 뒤 평범한 여자가 강력한 CEO의 눈에 들며 인생이 바뀌는 결혼·재벌물. 태그: romance, CEO, accident spark.</x:v>
      </x:c>
      <x:c r="Q256" s="15" t="str">
        <x:v>보강자료 기반</x:v>
      </x:c>
      <x:c r="R256" s="15" t="str">
        <x:v>공개월 세부 추적은 어렵지만 NetShort의 고평점 대표작으로 공식 상단 노출이 확인된다. 성과 수치 미상.</x:v>
      </x:c>
      <x:c r="S256" s="15" t="str">
        <x:v>B / Useful verified</x:v>
      </x:c>
      <x:c r="T256" s="18" t="n">
        <x:v>77</x:v>
      </x:c>
      <x:c r="U256" s="15" t="str">
        <x:v>B_Strong</x:v>
      </x:c>
      <x:c r="V256" s="15" t="str">
        <x:v>ADD_AND_OPTIONALLY_REPLACE_WEAK_SLOT</x:v>
      </x:c>
      <x:c r="W256" s="15" t="str">
        <x:v>Rise From the Ashes (rank 3, Medium)</x:v>
      </x:c>
      <x:c r="X256" s="15" t="str">
        <x:v>동월 약한 슬롯 대체 가능. 다만 보강자료도 공식 월간 차트가 아니므로 최종 행에서는 추가형으로 보존.</x:v>
      </x:c>
      <x:c r="Y256" s="15" t="str">
        <x:v>https://www.youtube.com/%40GoodShort_Korea</x:v>
      </x:c>
      <x:c r="Z256" s="15" t="str">
        <x:v>기존 슬롯 강제 교체 전, 공식 페이지/광고 라이브러리/조회수 재확인.</x:v>
      </x:c>
    </x:row>
    <x:row r="257">
      <x:c r="A257" s="15" t="str">
        <x:v>L0256</x:v>
      </x:c>
      <x:c r="B257" s="15" t="str">
        <x:v>2025-07</x:v>
      </x:c>
      <x:c r="C257" s="15" t="str">
        <x:v>NetShort</x:v>
      </x:c>
      <x:c r="D257" s="15" t="str">
        <x:v>Supplement_DOCX</x:v>
      </x:c>
      <x:c r="E257" s="15" t="str">
        <x:v>S</x:v>
      </x:c>
      <x:c r="F257" s="15" t="str">
        <x:v>Not in base same month</x:v>
      </x:c>
      <x:c r="G257" s="15" t="str">
        <x:v>Betray Me for a Princess? I’m Done Hiding!</x:v>
      </x:c>
      <x:c r="H257" s="15" t="str">
        <x:v>Betray Me for a Princess? I’m Done Hiding!</x:v>
      </x:c>
      <x:c r="I257" s="15" t="str">
        <x:v>Supplement; AIGC flag parsed from title/logline</x:v>
      </x:c>
      <x:c r="J257" s="15" t="str">
        <x:v>Not flagged</x:v>
      </x:c>
      <x:c r="K257" s="15" t="str">
        <x:v>Female / Romance</x:v>
      </x:c>
      <x:c r="L257" s="15" t="str">
        <x:v>fantasy romance, betrayal, hidden power</x:v>
      </x:c>
      <x:c r="M257" s="15" t="str">
        <x:v>Hidden-identity reveal + Revenge/regret payoff</x:v>
      </x:c>
      <x:c r="N257" s="15" t="str">
        <x:v>정체/권력 공개 직전까지 결핍·오해를 누적</x:v>
      </x:c>
      <x:c r="O257" s="15" t="str">
        <x:v>Medium: 광고 컷·후킹 이미지 보강용</x:v>
      </x:c>
      <x:c r="P257" s="15" t="str">
        <x:v>배신당한 뒤 숨기던 힘을 드러내는 중세/판타지 계열 역습물. 태그: fantasy romance, betrayal, hidden power.</x:v>
      </x:c>
      <x:c r="Q257" s="15" t="str">
        <x:v>보강자료 기반</x:v>
      </x:c>
      <x:c r="R257" s="15" t="str">
        <x:v>공식 페이지 노출은 확인되지만 과거 월별 수치는 미상. 추정 성과는 “여성향 판타지 역습 슬롯”.</x:v>
      </x:c>
      <x:c r="S257" s="15" t="str">
        <x:v>B / Useful verified</x:v>
      </x:c>
      <x:c r="T257" s="18" t="n">
        <x:v>75</x:v>
      </x:c>
      <x:c r="U257" s="15" t="str">
        <x:v>B_Strong</x:v>
      </x:c>
      <x:c r="V257" s="15" t="str">
        <x:v>ADD_AND_OPTIONALLY_REPLACE_WEAK_SLOT</x:v>
      </x:c>
      <x:c r="W257" s="15" t="str">
        <x:v>Oops, My Toyboy is a Heir (rank 3, Medium)</x:v>
      </x:c>
      <x:c r="X257" s="15" t="str">
        <x:v>동월 약한 슬롯 대체 가능. 다만 보강자료도 공식 월간 차트가 아니므로 최종 행에서는 추가형으로 보존.</x:v>
      </x:c>
      <x:c r="Y257" s="15" t="str">
        <x:v>https://www.instagram.com/p/DWEQ1CCADrN/</x:v>
      </x:c>
      <x:c r="Z257" s="15" t="str">
        <x:v>기존 슬롯 강제 교체 전, 공식 페이지/광고 라이브러리/조회수 재확인.</x:v>
      </x:c>
    </x:row>
    <x:row r="258">
      <x:c r="A258" s="15" t="str">
        <x:v>L0257</x:v>
      </x:c>
      <x:c r="B258" s="15" t="str">
        <x:v>2025-08</x:v>
      </x:c>
      <x:c r="C258" s="15" t="str">
        <x:v>NetShort</x:v>
      </x:c>
      <x:c r="D258" s="15" t="str">
        <x:v>Supplement_DOCX</x:v>
      </x:c>
      <x:c r="E258" s="15" t="str">
        <x:v>S</x:v>
      </x:c>
      <x:c r="F258" s="15" t="str">
        <x:v>Not in base same month</x:v>
      </x:c>
      <x:c r="G258" s="15" t="str">
        <x:v>Counterattack Life</x:v>
      </x:c>
      <x:c r="H258" s="15" t="str">
        <x:v>Counterattack Life</x:v>
      </x:c>
      <x:c r="I258" s="15" t="str">
        <x:v>Supplement; AIGC flag parsed from title/logline</x:v>
      </x:c>
      <x:c r="J258" s="15" t="str">
        <x:v>Not flagged</x:v>
      </x:c>
      <x:c r="K258" s="15" t="str">
        <x:v>Mixed / General</x:v>
      </x:c>
      <x:c r="L258" s="15" t="str">
        <x:v>supernatural, awakening, comeback</x:v>
      </x:c>
      <x:c r="M258" s="15" t="str">
        <x:v>Revenge/regret payoff</x:v>
      </x:c>
      <x:c r="N258" s="15" t="str">
        <x:v>무료부에서는 결핍과 예고, 유료부에서는 보상/진실/역전</x:v>
      </x:c>
      <x:c r="O258" s="15" t="str">
        <x:v>Medium: 광고 컷·후킹 이미지 보강용</x:v>
      </x:c>
      <x:c r="P258" s="15" t="str">
        <x:v>시작부터 천안(天眼)을 각성하고 역습 인생을 여는 초능력·성장물. 태그: supernatural, awakening, comeback.</x:v>
      </x:c>
      <x:c r="Q258" s="15" t="str">
        <x:v>보강자료 기반</x:v>
      </x:c>
      <x:c r="R258" s="15" t="str">
        <x:v>공식 유튜브 채널 라인업에서 제목이 보이지만 세부 수치는 미상. पुरुष/성장향 보강용 카드.</x:v>
      </x:c>
      <x:c r="S258" s="15" t="str">
        <x:v>B / Useful verified</x:v>
      </x:c>
      <x:c r="T258" s="18" t="n">
        <x:v>77</x:v>
      </x:c>
      <x:c r="U258" s="15" t="str">
        <x:v>B_Strong</x:v>
      </x:c>
      <x:c r="V258" s="15" t="str">
        <x:v>ADD_AND_OPTIONALLY_REPLACE_WEAK_SLOT</x:v>
      </x:c>
      <x:c r="W258" s="15" t="str">
        <x:v>재벌의 위장 결혼 (rank 3, Low)</x:v>
      </x:c>
      <x:c r="X258" s="15" t="str">
        <x:v>동월 약한 슬롯 대체 가능. 다만 보강자료도 공식 월간 차트가 아니므로 최종 행에서는 추가형으로 보존.</x:v>
      </x:c>
      <x:c r="Y258" s="15" t="str">
        <x:v>https://www.youtube.com/watch?v=NfqFNCRxWR8
https://www.youtube.com/%40NetShort-app</x:v>
      </x:c>
      <x:c r="Z258" s="15" t="str">
        <x:v>기존 슬롯 강제 교체 전, 공식 페이지/광고 라이브러리/조회수 재확인.</x:v>
      </x:c>
    </x:row>
    <x:row r="259">
      <x:c r="A259" s="15" t="str">
        <x:v>L0258</x:v>
      </x:c>
      <x:c r="B259" s="15" t="str">
        <x:v>2025-09</x:v>
      </x:c>
      <x:c r="C259" s="15" t="str">
        <x:v>NetShort</x:v>
      </x:c>
      <x:c r="D259" s="15" t="str">
        <x:v>Supplement_DOCX</x:v>
      </x:c>
      <x:c r="E259" s="15" t="str">
        <x:v>S</x:v>
      </x:c>
      <x:c r="F259" s="15" t="str">
        <x:v>Not in base same month</x:v>
      </x:c>
      <x:c r="G259" s="15" t="str">
        <x:v>Iron Fist, Blossoming Heart</x:v>
      </x:c>
      <x:c r="H259" s="15" t="str">
        <x:v>Iron Fist, Blossoming Heart</x:v>
      </x:c>
      <x:c r="I259" s="15" t="str">
        <x:v>Supplement; AIGC flag parsed from title/logline</x:v>
      </x:c>
      <x:c r="J259" s="15" t="str">
        <x:v>Not flagged</x:v>
      </x:c>
      <x:c r="K259" s="15" t="str">
        <x:v>Male / Power fantasy</x:v>
      </x:c>
      <x:c r="L259" s="15" t="str">
        <x:v>kung-fu, female action, rise</x:v>
      </x:c>
      <x:c r="M259" s="15" t="str">
        <x:v>Core melodrama hook</x:v>
      </x:c>
      <x:c r="N259" s="15" t="str">
        <x:v>무료부에서는 결핍과 예고, 유료부에서는 보상/진실/역전</x:v>
      </x:c>
      <x:c r="O259" s="15" t="str">
        <x:v>Medium: 광고 컷·후킹 이미지 보강용</x:v>
      </x:c>
      <x:c r="P259" s="15" t="str">
        <x:v>평범해 보이던 소녀가 쿵푸 마스터로 성장하며 힘으로 세계를 뒤집는 액션 성장극. 태그: kung-fu, female action, rise.</x:v>
      </x:c>
      <x:c r="Q259" s="15" t="str">
        <x:v>보강자료 기반</x:v>
      </x:c>
      <x:c r="R259" s="15" t="str">
        <x:v>공식/공식계열 채널 결과에선 풀버전 영상이 968K views 수준까지 보였다. 추정 성과는 초기 NetShort 액션축의 강한 롱테일.</x:v>
      </x:c>
      <x:c r="S259" s="15" t="str">
        <x:v>A / Strong verified</x:v>
      </x:c>
      <x:c r="T259" s="18" t="n">
        <x:v>99</x:v>
      </x:c>
      <x:c r="U259" s="15" t="str">
        <x:v>A_Core</x:v>
      </x:c>
      <x:c r="V259" s="15" t="str">
        <x:v>ADD_AND_OPTIONALLY_REPLACE_WEAK_SLOT</x:v>
      </x:c>
      <x:c r="W259" s="15" t="str">
        <x:v>Cheating Death (rank 3, Medium)</x:v>
      </x:c>
      <x:c r="X259" s="15" t="str">
        <x:v>동월 약한 슬롯 대체 가능. 다만 보강자료도 공식 월간 차트가 아니므로 최종 행에서는 추가형으로 보존.</x:v>
      </x:c>
      <x:c r="Y259" s="15" t="str">
        <x:v>https://www.youtube.com/watch?v=cxp0jqKqUvM
https://www.youtube.com/watch?v=7aB4SkpK7jk</x:v>
      </x:c>
      <x:c r="Z259" s="15" t="str">
        <x:v>기존 슬롯 강제 교체 전, 공식 페이지/광고 라이브러리/조회수 재확인.</x:v>
      </x:c>
    </x:row>
    <x:row r="260">
      <x:c r="A260" s="15" t="str">
        <x:v>L0259</x:v>
      </x:c>
      <x:c r="B260" s="15" t="str">
        <x:v>2025-10</x:v>
      </x:c>
      <x:c r="C260" s="15" t="str">
        <x:v>NetShort</x:v>
      </x:c>
      <x:c r="D260" s="15" t="str">
        <x:v>Supplement_DOCX</x:v>
      </x:c>
      <x:c r="E260" s="15" t="str">
        <x:v>S</x:v>
      </x:c>
      <x:c r="F260" s="15" t="str">
        <x:v>Not in base same month</x:v>
      </x:c>
      <x:c r="G260" s="15" t="str">
        <x:v>Legend of Dawnbreaker</x:v>
      </x:c>
      <x:c r="H260" s="15" t="str">
        <x:v>Legend of Dawnbreaker</x:v>
      </x:c>
      <x:c r="I260" s="15" t="str">
        <x:v>Supplement; AIGC flag parsed from title/logline</x:v>
      </x:c>
      <x:c r="J260" s="15" t="str">
        <x:v>Not flagged</x:v>
      </x:c>
      <x:c r="K260" s="15" t="str">
        <x:v>Male / Power fantasy</x:v>
      </x:c>
      <x:c r="L260" s="15" t="str">
        <x:v>sword master, revenge, youth fantasy</x:v>
      </x:c>
      <x:c r="M260" s="15" t="str">
        <x:v>Revenge/regret payoff</x:v>
      </x:c>
      <x:c r="N260" s="15" t="str">
        <x:v>굴욕/배신 후 첫 반격을 예고하고 본격 응징은 지연</x:v>
      </x:c>
      <x:c r="O260" s="15" t="str">
        <x:v>Medium: 광고 컷·후킹 이미지 보강용</x:v>
      </x:c>
      <x:c r="P260" s="15" t="str">
        <x:v>타고난 검의 몸을 가진 소년이 가문 복수를 위해 검성으로 성장하는 무협형 성장극. 태그: sword master, revenge, youth fantasy.</x:v>
      </x:c>
      <x:c r="Q260" s="15" t="str">
        <x:v>보강자료 기반</x:v>
      </x:c>
      <x:c r="R260" s="15" t="str">
        <x:v>공식 채널 결과에서 83K views, 하이라이트는 68K views가 잡힌다. 추정 성과는 중상위 검·무협 슬롯.</x:v>
      </x:c>
      <x:c r="S260" s="15" t="str">
        <x:v>A / Strong verified</x:v>
      </x:c>
      <x:c r="T260" s="18" t="n">
        <x:v>99</x:v>
      </x:c>
      <x:c r="U260" s="15" t="str">
        <x:v>A_Core</x:v>
      </x:c>
      <x:c r="V260" s="15" t="str">
        <x:v>ADD_AND_OPTIONALLY_REPLACE_WEAK_SLOT</x:v>
      </x:c>
      <x:c r="W260" s="15" t="str">
        <x:v>Too Late to Come Back (Dubbed) (rank 3, High)</x:v>
      </x:c>
      <x:c r="X260" s="15" t="str">
        <x:v>동월 약한 슬롯 대체 가능. 다만 보강자료도 공식 월간 차트가 아니므로 최종 행에서는 추가형으로 보존.</x:v>
      </x:c>
      <x:c r="Y260" s="15" t="str">
        <x:v>https://www.youtube.com/watch?v=Kaj4ay1Gz9A
https://www.youtube.com/watch?v=NoJy-qtLhtU</x:v>
      </x:c>
      <x:c r="Z260" s="15" t="str">
        <x:v>기존 슬롯 강제 교체 전, 공식 페이지/광고 라이브러리/조회수 재확인.</x:v>
      </x:c>
    </x:row>
    <x:row r="261">
      <x:c r="A261" s="15" t="str">
        <x:v>L0260</x:v>
      </x:c>
      <x:c r="B261" s="15" t="str">
        <x:v>2025-11</x:v>
      </x:c>
      <x:c r="C261" s="15" t="str">
        <x:v>NetShort</x:v>
      </x:c>
      <x:c r="D261" s="15" t="str">
        <x:v>Supplement_DOCX</x:v>
      </x:c>
      <x:c r="E261" s="15" t="str">
        <x:v>S</x:v>
      </x:c>
      <x:c r="F261" s="15" t="str">
        <x:v>Not in base same month</x:v>
      </x:c>
      <x:c r="G261" s="15" t="str">
        <x:v>The Legend of A Bastard Son</x:v>
      </x:c>
      <x:c r="H261" s="15" t="str">
        <x:v>The Legend of A Bastard Son</x:v>
      </x:c>
      <x:c r="I261" s="15" t="str">
        <x:v>Supplement; AIGC flag parsed from title/logline</x:v>
      </x:c>
      <x:c r="J261" s="15" t="str">
        <x:v>Not flagged</x:v>
      </x:c>
      <x:c r="K261" s="15" t="str">
        <x:v>Male / Power fantasy</x:v>
      </x:c>
      <x:c r="L261" s="15" t="str">
        <x:v>underdog rise, hidden strength, martial arts</x:v>
      </x:c>
      <x:c r="M261" s="15" t="str">
        <x:v>Hidden-identity reveal + Child/family reunion</x:v>
      </x:c>
      <x:c r="N261" s="15" t="str">
        <x:v>정체/권력 공개 직전까지 결핍·오해를 누적</x:v>
      </x:c>
      <x:c r="O261" s="15" t="str">
        <x:v>Medium: 광고 컷·후킹 이미지 보강용</x:v>
      </x:c>
      <x:c r="P261" s="15" t="str">
        <x:v>사생아로 조롱받던 청년이 압도적 힘을 숨긴 채 살다가 결국 왕귀하는 언더독 반전물. 태그: underdog rise, hidden strength, martial arts.</x:v>
      </x:c>
      <x:c r="Q261" s="15" t="str">
        <x:v>보강자료 기반</x:v>
      </x:c>
      <x:c r="R261" s="15" t="str">
        <x:v>공식 계열 결과에서 971K views, 다른 클립은 238K views가 보여 강한 남성향 전환 카드로 읽힌다.</x:v>
      </x:c>
      <x:c r="S261" s="15" t="str">
        <x:v>A / Strong verified</x:v>
      </x:c>
      <x:c r="T261" s="18" t="n">
        <x:v>99</x:v>
      </x:c>
      <x:c r="U261" s="15" t="str">
        <x:v>A_Core</x:v>
      </x:c>
      <x:c r="V261" s="15" t="str">
        <x:v>ADD_AND_OPTIONALLY_REPLACE_WEAK_SLOT</x:v>
      </x:c>
      <x:c r="W261" s="15" t="str">
        <x:v>My Sister’s Fiancé, My Mafia Husband (rank 3, High)</x:v>
      </x:c>
      <x:c r="X261" s="15" t="str">
        <x:v>동월 약한 슬롯 대체 가능. 다만 보강자료도 공식 월간 차트가 아니므로 최종 행에서는 추가형으로 보존.</x:v>
      </x:c>
      <x:c r="Y261" s="15" t="str">
        <x:v>https://www.youtube.com/watch?v=BQjxniDgpuM
https://www.youtube.com/watch?v=1Vkor8Oz3M0</x:v>
      </x:c>
      <x:c r="Z261" s="15" t="str">
        <x:v>기존 슬롯 강제 교체 전, 공식 페이지/광고 라이브러리/조회수 재확인.</x:v>
      </x:c>
    </x:row>
    <x:row r="262">
      <x:c r="A262" s="15" t="str">
        <x:v>L0261</x:v>
      </x:c>
      <x:c r="B262" s="15" t="str">
        <x:v>2025-12</x:v>
      </x:c>
      <x:c r="C262" s="15" t="str">
        <x:v>NetShort</x:v>
      </x:c>
      <x:c r="D262" s="15" t="str">
        <x:v>Supplement_DOCX</x:v>
      </x:c>
      <x:c r="E262" s="15" t="str">
        <x:v>S</x:v>
      </x:c>
      <x:c r="F262" s="15" t="str">
        <x:v>Not in base same month</x:v>
      </x:c>
      <x:c r="G262" s="15" t="str">
        <x:v>Baby Tycoon &amp; Her Reward System</x:v>
      </x:c>
      <x:c r="H262" s="15" t="str">
        <x:v>Baby Tycoon &amp; Her Reward System</x:v>
      </x:c>
      <x:c r="I262" s="15" t="str">
        <x:v>Supplement; AIGC flag parsed from title/logline</x:v>
      </x:c>
      <x:c r="J262" s="15" t="str">
        <x:v>AIGC-friendly genre</x:v>
      </x:c>
      <x:c r="K262" s="15" t="str">
        <x:v>Male / Power fantasy</x:v>
      </x:c>
      <x:c r="L262" s="15" t="str">
        <x:v>second chance, child mastermind, system</x:v>
      </x:c>
      <x:c r="M262" s="15" t="str">
        <x:v>High-status partner/authority + Child/family reunion + Progression/spectacle</x:v>
      </x:c>
      <x:c r="N262" s="15" t="str">
        <x:v>첫 각성·첫 스킬만 보여주고 상위 보스/진짜 권위는 유료부로 이월</x:v>
      </x:c>
      <x:c r="O262" s="15" t="str">
        <x:v>High: VFX·세계관·시스템 UI·비현실 스케일을 직접 보상화</x:v>
      </x:c>
      <x:c r="P262" s="15" t="str">
        <x:v>되돌리기 기회를 얻은 비비안이 어린 몸으로 가족 운명을 바꾸는 시스템형 역습극. 태그: second chance, child mastermind, system.</x:v>
      </x:c>
      <x:c r="Q262" s="15" t="str">
        <x:v>보강자료 기반</x:v>
      </x:c>
      <x:c r="R262" s="15" t="str">
        <x:v>공식 리뷰 스니펫은 “thrilling and filled with witty moments”라고 요약했다. 수치 공개는 미상.</x:v>
      </x:c>
      <x:c r="S262" s="15" t="str">
        <x:v>B / Useful verified</x:v>
      </x:c>
      <x:c r="T262" s="18" t="n">
        <x:v>81</x:v>
      </x:c>
      <x:c r="U262" s="15" t="str">
        <x:v>B_Strong</x:v>
      </x:c>
      <x:c r="V262" s="15" t="str">
        <x:v>ADD_AND_OPTIONALLY_REPLACE_WEAK_SLOT</x:v>
      </x:c>
      <x:c r="W262" s="15" t="str">
        <x:v>My Brother-in-Law's Secret Obsession (rank 3, High)</x:v>
      </x:c>
      <x:c r="X262" s="15" t="str">
        <x:v>동월 약한 슬롯 대체 가능. 다만 보강자료도 공식 월간 차트가 아니므로 최종 행에서는 추가형으로 보존.</x:v>
      </x:c>
      <x:c r="Y262" s="15" t="str">
        <x:v>https://netshort.com/episode/baby-tycoon-her-reward-system-1970771520843513857</x:v>
      </x:c>
      <x:c r="Z262" s="15" t="str">
        <x:v>기존 슬롯 강제 교체 전, 공식 페이지/광고 라이브러리/조회수 재확인.</x:v>
      </x:c>
    </x:row>
    <x:row r="263">
      <x:c r="A263" s="15" t="str">
        <x:v>L0262</x:v>
      </x:c>
      <x:c r="B263" s="15" t="str">
        <x:v>2026-01</x:v>
      </x:c>
      <x:c r="C263" s="15" t="str">
        <x:v>NetShort</x:v>
      </x:c>
      <x:c r="D263" s="15" t="str">
        <x:v>Supplement_DOCX</x:v>
      </x:c>
      <x:c r="E263" s="15" t="str">
        <x:v>S</x:v>
      </x:c>
      <x:c r="F263" s="15" t="str">
        <x:v>Not in base same month</x:v>
      </x:c>
      <x:c r="G263" s="15" t="str">
        <x:v>The 5-time rejected luna</x:v>
      </x:c>
      <x:c r="H263" s="15" t="str">
        <x:v>The 5-time rejected luna</x:v>
      </x:c>
      <x:c r="I263" s="15" t="str">
        <x:v>Werewolf romance; AIGC not flagged</x:v>
      </x:c>
      <x:c r="J263" s="15" t="str">
        <x:v>Not flagged</x:v>
      </x:c>
      <x:c r="K263" s="15" t="str">
        <x:v>Female / Werewolf romance</x:v>
      </x:c>
      <x:c r="L263" s="15" t="str">
        <x:v>Rejected Luna / Mate regret / Mistaken identity / No-second-chance</x:v>
      </x:c>
      <x:c r="M263" s="15" t="str">
        <x:v>Repeated rejection + mate mismatch + remarriage + regret refusal</x:v>
      </x:c>
      <x:c r="N263" s="15" t="str">
        <x:v>다섯 번 거절의 누적과 재혼 선택을 무료부에 배치하고 알파의 후회·진짜 메이트 판명을 유료부로 이월</x:v>
      </x:c>
      <x:c r="O263" s="15" t="str">
        <x:v>Low-Medium: werewolf 변신/VFX 컷은 가능하지만 제작 AIGC 후보로 보지 않음.</x:v>
      </x:c>
      <x:c r="P263" s="15" t="str">
        <x:v>다섯 번 거절당한 루나가 잘못된 메이트를 버리고 시각장애 남자와 재혼하면서 진짜 사랑과 후회를 역전시키는 늑대인간물. 태그: werewolf, mistaken identity, regret.</x:v>
      </x:c>
      <x:c r="Q263" s="15" t="str">
        <x:v>보강자료 기반</x:v>
      </x:c>
      <x:c r="R263" s="15" t="str">
        <x:v>Official NetShort pages verify the rejected-luna werewolf trend; user correction confirms this should not be treated as AIGC.</x:v>
      </x:c>
      <x:c r="S263" s="15" t="str">
        <x:v>A / Strong verified</x:v>
      </x:c>
      <x:c r="T263" s="18" t="n">
        <x:v>96</x:v>
      </x:c>
      <x:c r="U263" s="15" t="str">
        <x:v>A_Core</x:v>
      </x:c>
      <x:c r="V263" s="15" t="str">
        <x:v>CORRECT_EXISTING_AND_KEEP</x:v>
      </x:c>
      <x:c r="W263" s="15" t="str">
        <x:v>User callout trend title</x:v>
      </x:c>
      <x:c r="X263" s="15" t="str">
        <x:v>2026-05-19 correction: moved out of AIGC/AIGC-friendly bucket; retained as core werewolf trend.</x:v>
      </x:c>
      <x:c r="Y263" s="15" t="str">
        <x:v>https://netshort.com/full-episodes/the-5-time-rejected-luna-2048604611983441922
https://netshort.com/hotseries/the-5-time-rejected-luna-2048604611983441922</x:v>
      </x:c>
      <x:c r="Z263" s="15" t="str">
        <x:v>ReelShort Rejected Luna Is the Alpha Queen과 구조 비교.</x:v>
      </x:c>
    </x:row>
    <x:row r="264">
      <x:c r="A264" s="15" t="str">
        <x:v>L0263</x:v>
      </x:c>
      <x:c r="B264" s="15" t="str">
        <x:v>2026-02</x:v>
      </x:c>
      <x:c r="C264" s="15" t="str">
        <x:v>NetShort</x:v>
      </x:c>
      <x:c r="D264" s="15" t="str">
        <x:v>Supplement_DOCX</x:v>
      </x:c>
      <x:c r="E264" s="15" t="str">
        <x:v>S</x:v>
      </x:c>
      <x:c r="F264" s="15" t="str">
        <x:v>Exists in another month</x:v>
      </x:c>
      <x:c r="G264" s="15" t="str">
        <x:v>One Move God Mode</x:v>
      </x:c>
      <x:c r="H264" s="15" t="str">
        <x:v>One Move God Mode</x:v>
      </x:c>
      <x:c r="I264" s="15" t="str">
        <x:v>Direct external evidence says AI/AI-like production; NetShort official title verified</x:v>
      </x:c>
      <x:c r="J264" s="15" t="str">
        <x:v>Direct/Explicit AI</x:v>
      </x:c>
      <x:c r="K264" s="15" t="str">
        <x:v>Male / Power fantasy</x:v>
      </x:c>
      <x:c r="L264" s="15" t="str">
        <x:v>western fantasy, god-blood, power fantasy</x:v>
      </x:c>
      <x:c r="M264" s="15" t="str">
        <x:v>Progression/spectacle</x:v>
      </x:c>
      <x:c r="N264" s="15" t="str">
        <x:v>첫 각성·첫 스킬만 보여주고 상위 보스/진짜 권위는 유료부로 이월</x:v>
      </x:c>
      <x:c r="O264" s="15" t="str">
        <x:v>High: AI/VFX 스케일·신화 몬스터·전투 연출을 핵심 상품으로 사용.</x:v>
      </x:c>
      <x:c r="P264" s="15" t="str">
        <x:v>포세이돈의 아들이 농부로 살다 숨겨진 삼지창과 신성을 각성해 전설로 올라서는 서양 판타지 역습물. 태그: western fantasy, god-blood, power fantasy.</x:v>
      </x:c>
      <x:c r="Q264" s="15" t="str">
        <x:v>보강자료 기반</x:v>
      </x:c>
      <x:c r="R264" s="15" t="str">
        <x:v>TopMarketing and 36Kr/DataEye reports identify One Move God Mode as a NetShort AI/AI-like drama case; official NetShort page verifies title.</x:v>
      </x:c>
      <x:c r="S264" s="15" t="str">
        <x:v>A / Strong verified</x:v>
      </x:c>
      <x:c r="T264" s="18" t="n">
        <x:v>100</x:v>
      </x:c>
      <x:c r="U264" s="15" t="str">
        <x:v>A_Core</x:v>
      </x:c>
      <x:c r="V264" s="15" t="str">
        <x:v>MERGE_AND_REINFORCE_EXISTING</x:v>
      </x:c>
      <x:c r="W264" s="15" t="str">
        <x:v>Existing One Move God Mode rows</x:v>
      </x:c>
      <x:c r="X264" s="15" t="str">
        <x:v>2026-05-19 correction: direct-AI evidence retained; sources tightened to official + industry reports.</x:v>
      </x:c>
      <x:c r="Y264" s="15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264" s="15" t="str">
        <x:v>DataEye 소재량·언어버전별 집행량 캡처로 세부 성과 보강.</x:v>
      </x:c>
    </x:row>
    <x:row r="265">
      <x:c r="A265" s="15" t="str">
        <x:v>L0264</x:v>
      </x:c>
      <x:c r="B265" s="15" t="str">
        <x:v>2026-03</x:v>
      </x:c>
      <x:c r="C265" s="15" t="str">
        <x:v>NetShort</x:v>
      </x:c>
      <x:c r="D265" s="15" t="str">
        <x:v>Supplement_DOCX</x:v>
      </x:c>
      <x:c r="E265" s="15" t="str">
        <x:v>S</x:v>
      </x:c>
      <x:c r="F265" s="15" t="str">
        <x:v>Not in base same month</x:v>
      </x:c>
      <x:c r="G265" s="15" t="str">
        <x:v>The Discarded Ace</x:v>
      </x:c>
      <x:c r="H265" s="15" t="str">
        <x:v>The Discarded Ace</x:v>
      </x:c>
      <x:c r="I265" s="15" t="str">
        <x:v>Supplement; AIGC flag parsed from title/logline</x:v>
      </x:c>
      <x:c r="J265" s="15" t="str">
        <x:v>Direct/Explicit AI</x:v>
      </x:c>
      <x:c r="K265" s="15" t="str">
        <x:v>Male / Power fantasy</x:v>
      </x:c>
      <x:c r="L265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5" s="15" t="str">
        <x:v>Hidden-identity reveal + Revenge/regret payoff + Progression/spectacle</x:v>
      </x:c>
      <x:c r="N265" s="15" t="str">
        <x:v>정체/권력 공개 직전까지 결핍·오해를 누적</x:v>
      </x:c>
      <x:c r="O265" s="15" t="str">
        <x:v>High: VFX·세계관·시스템 UI·비현실 스케일을 직접 보상화</x:v>
      </x:c>
      <x:c r="P265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5" s="15" t="str">
        <x:v>보강자료 기반</x:v>
      </x:c>
      <x:c r="R265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5" s="15" t="str">
        <x:v>A / Strong verified</x:v>
      </x:c>
      <x:c r="T265" s="18" t="n">
        <x:v>100</x:v>
      </x:c>
      <x:c r="U265" s="15" t="str">
        <x:v>A_Core</x:v>
      </x:c>
      <x:c r="V265" s="15" t="str">
        <x:v>ADD_AND_OPTIONALLY_REPLACE_WEAK_SLOT</x:v>
      </x:c>
      <x:c r="W265" s="15" t="str">
        <x:v>Go Dutch? My Mom Strikes Back (rank 5, High)</x:v>
      </x:c>
      <x:c r="X265" s="15" t="str">
        <x:v>동월 약한 슬롯 대체 가능. 다만 보강자료도 공식 월간 차트가 아니므로 최종 행에서는 추가형으로 보존.</x:v>
      </x:c>
      <x:c r="Y265" s="15" t="str">
        <x:v>https://netshort.com/full-episodes/the-discarded-ace-2041056545067761666
https://www.itopmarketing.com/info22317</x:v>
      </x:c>
      <x:c r="Z265" s="15" t="str">
        <x:v>기존 슬롯 강제 교체 전, 공식 페이지/광고 라이브러리/조회수 재확인.</x:v>
      </x:c>
    </x:row>
    <x:row r="266">
      <x:c r="A266" s="15" t="str">
        <x:v>L0265</x:v>
      </x:c>
      <x:c r="B266" s="15" t="str">
        <x:v>2026-03</x:v>
      </x:c>
      <x:c r="C266" s="15" t="str">
        <x:v>NetShort</x:v>
      </x:c>
      <x:c r="D266" s="15" t="str">
        <x:v>Supplement_DOCX</x:v>
      </x:c>
      <x:c r="E266" s="15" t="str">
        <x:v>S</x:v>
      </x:c>
      <x:c r="F266" s="15" t="str">
        <x:v>Not in base same month</x:v>
      </x:c>
      <x:c r="G266" s="15" t="str">
        <x:v>說好的乙遊戀愛呢？執事怎麼全員黑化了！</x:v>
      </x:c>
      <x:c r="H266" s="15" t="str">
        <x:v>說好的乙遊戀愛呢？執事怎麼全員黑化了！</x:v>
      </x:c>
      <x:c r="I266" s="15" t="str">
        <x:v>Supplement; AIGC flag parsed from title/logline</x:v>
      </x:c>
      <x:c r="J266" s="15" t="str">
        <x:v>Direct/Explicit AI</x:v>
      </x:c>
      <x:c r="K266" s="15" t="str">
        <x:v>Male / Power fantasy</x:v>
      </x:c>
      <x:c r="L266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6" s="15" t="str">
        <x:v>Hidden-identity reveal + Progression/spectacle</x:v>
      </x:c>
      <x:c r="N266" s="15" t="str">
        <x:v>정체/권력 공개 직전까지 결핍·오해를 누적</x:v>
      </x:c>
      <x:c r="O266" s="15" t="str">
        <x:v>High: VFX·세계관·시스템 UI·비현실 스케일을 직접 보상화</x:v>
      </x:c>
      <x:c r="P266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6" s="15" t="str">
        <x:v>보강자료 기반</x:v>
      </x:c>
      <x:c r="R266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6" s="15" t="str">
        <x:v>A / Strong verified</x:v>
      </x:c>
      <x:c r="T266" s="18" t="n">
        <x:v>100</x:v>
      </x:c>
      <x:c r="U266" s="15" t="str">
        <x:v>A_Core</x:v>
      </x:c>
      <x:c r="V266" s="15" t="str">
        <x:v>ADD_AND_OPTIONALLY_REPLACE_WEAK_SLOT</x:v>
      </x:c>
      <x:c r="W266" s="15" t="str">
        <x:v>Go Dutch? My Mom Strikes Back (rank 5, High)</x:v>
      </x:c>
      <x:c r="X266" s="15" t="str">
        <x:v>동월 약한 슬롯 대체 가능. 다만 보강자료도 공식 월간 차트가 아니므로 최종 행에서는 추가형으로 보존.</x:v>
      </x:c>
      <x:c r="Y266" s="15" t="str">
        <x:v>https://netshort.com/full-episodes/the-discarded-ace-2041056545067761666
https://www.itopmarketing.com/info22317</x:v>
      </x:c>
      <x:c r="Z266" s="15" t="str">
        <x:v>기존 슬롯 강제 교체 전, 공식 페이지/광고 라이브러리/조회수 재확인.</x:v>
      </x:c>
    </x:row>
    <x:row r="267">
      <x:c r="A267" s="15" t="str">
        <x:v>L0266</x:v>
      </x:c>
      <x:c r="B267" s="15" t="str">
        <x:v>2026-04</x:v>
      </x:c>
      <x:c r="C267" s="15" t="str">
        <x:v>NetShort</x:v>
      </x:c>
      <x:c r="D267" s="15" t="str">
        <x:v>Supplement_DOCX</x:v>
      </x:c>
      <x:c r="E267" s="15" t="str">
        <x:v>S</x:v>
      </x:c>
      <x:c r="F267" s="15" t="str">
        <x:v>Not in base same month</x:v>
      </x:c>
      <x:c r="G267" s="15" t="str">
        <x:v>The 5-time rejected luna</x:v>
      </x:c>
      <x:c r="H267" s="15" t="str">
        <x:v>The 5-time rejected luna</x:v>
      </x:c>
      <x:c r="I267" s="15" t="str">
        <x:v>Werewolf romance; AIGC not flagged</x:v>
      </x:c>
      <x:c r="J267" s="15" t="str">
        <x:v>Not flagged</x:v>
      </x:c>
      <x:c r="K267" s="15" t="str">
        <x:v>Female / Werewolf romance</x:v>
      </x:c>
      <x:c r="L267" s="15" t="str">
        <x:v>Rejected Luna / Mate regret / Mistaken identity / No-second-chance</x:v>
      </x:c>
      <x:c r="M267" s="15" t="str">
        <x:v>Repeated rejection + mate mismatch + remarriage + regret refusal</x:v>
      </x:c>
      <x:c r="N267" s="15" t="str">
        <x:v>다섯 번 거절의 누적과 재혼 선택을 무료부에 배치하고 알파의 후회·진짜 메이트 판명을 유료부로 이월</x:v>
      </x:c>
      <x:c r="O267" s="15" t="str">
        <x:v>Low-Medium: werewolf 변신/VFX 컷은 가능하지만 제작 AIGC 후보로 보지 않음.</x:v>
      </x:c>
      <x:c r="P267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7" s="15" t="str">
        <x:v>보강자료 기반</x:v>
      </x:c>
      <x:c r="R267" s="15" t="str">
        <x:v>Official NetShort pages verify the rejected-luna werewolf trend; user correction confirms this should not be treated as AIGC.</x:v>
      </x:c>
      <x:c r="S267" s="15" t="str">
        <x:v>A / Strong verified</x:v>
      </x:c>
      <x:c r="T267" s="18" t="n">
        <x:v>96</x:v>
      </x:c>
      <x:c r="U267" s="15" t="str">
        <x:v>A_Core</x:v>
      </x:c>
      <x:c r="V267" s="15" t="str">
        <x:v>CORRECT_EXISTING_AND_KEEP</x:v>
      </x:c>
      <x:c r="W267" s="15" t="str">
        <x:v>User callout trend title</x:v>
      </x:c>
      <x:c r="X267" s="15" t="str">
        <x:v>2026-05-19 correction: moved out of AIGC/AIGC-friendly bucket; retained as core werewolf trend.</x:v>
      </x:c>
      <x:c r="Y267" s="15" t="str">
        <x:v>https://netshort.com/full-episodes/the-5-time-rejected-luna-2048604611983441922
https://netshort.com/hotseries/the-5-time-rejected-luna-2048604611983441922</x:v>
      </x:c>
      <x:c r="Z267" s="15" t="str">
        <x:v>ReelShort Rejected Luna Is the Alpha Queen과 구조 비교.</x:v>
      </x:c>
    </x:row>
    <x:row r="268">
      <x:c r="A268" s="15" t="str">
        <x:v>L0267</x:v>
      </x:c>
      <x:c r="B268" s="15" t="str">
        <x:v>2026-04</x:v>
      </x:c>
      <x:c r="C268" s="15" t="str">
        <x:v>NetShort</x:v>
      </x:c>
      <x:c r="D268" s="15" t="str">
        <x:v>Supplement_DOCX</x:v>
      </x:c>
      <x:c r="E268" s="15" t="str">
        <x:v>S</x:v>
      </x:c>
      <x:c r="F268" s="15" t="str">
        <x:v>Not in base same month</x:v>
      </x:c>
      <x:c r="G268" s="15" t="str">
        <x:v>Divorced &amp; Unmasked: The AI Queen Rules</x:v>
      </x:c>
      <x:c r="H268" s="15" t="str">
        <x:v>Divorced &amp; Unmasked: The AI Queen Rules</x:v>
      </x:c>
      <x:c r="I268" s="15" t="str">
        <x:v>AI-theme only; production AIGC unconfirmed</x:v>
      </x:c>
      <x:c r="J268" s="15" t="str">
        <x:v>AI-theme only</x:v>
      </x:c>
      <x:c r="K268" s="15" t="str">
        <x:v>Female / Romance</x:v>
      </x:c>
      <x:c r="L268" s="15" t="str">
        <x:v>AI genius, divorce, whirlwind marriage. ③ 도박 역습극</x:v>
      </x:c>
      <x:c r="M268" s="15" t="str">
        <x:v>Hidden-identity reveal + Revenge/regret payoff + High-status partner/authority</x:v>
      </x:c>
      <x:c r="N268" s="15" t="str">
        <x:v>정체/권력 공개 직전까지 결핍·오해를 누적</x:v>
      </x:c>
      <x:c r="O268" s="15" t="str">
        <x:v>Medium: 제목/소재가 AI theme일 뿐 제작 AIGC 증거가 아님. 트래커에서 production-AIGC와 분리.</x:v>
      </x:c>
      <x:c r="P268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8" s="15" t="str">
        <x:v>보강자료 기반</x:v>
      </x:c>
      <x:c r="R268" s="15" t="str">
        <x:v>Official NetShort page verifies AI-genius story theme; production AIGC not confirmed.</x:v>
      </x:c>
      <x:c r="S268" s="15" t="str">
        <x:v>A / Strong verified</x:v>
      </x:c>
      <x:c r="T268" s="18" t="n">
        <x:v>88</x:v>
      </x:c>
      <x:c r="U268" s="15" t="str">
        <x:v>B_Strong</x:v>
      </x:c>
      <x:c r="V268" s="15" t="str">
        <x:v>CORRECT_SOURCE_AND_KEEP_AI_THEME_ONLY</x:v>
      </x:c>
      <x:c r="W268" s="15" t="str">
        <x:v>AI-theme only bucket</x:v>
      </x:c>
      <x:c r="X268" s="15" t="str">
        <x:v>2026-05-19 correction: source URL corrected; not counted as production-AIGC.</x:v>
      </x:c>
      <x:c r="Y268" s="15" t="str">
        <x:v>https://netshort.com/full-episodes/divorced-unmasked-the-ai-queen-rules-2014152893217890306</x:v>
      </x:c>
      <x:c r="Z268" s="15" t="str">
        <x:v>제작 방식 확인 전까지 AIGC 확정군에 넣지 않음.</x:v>
      </x:c>
    </x:row>
    <x:row r="269">
      <x:c r="A269" s="15" t="str">
        <x:v>L0268</x:v>
      </x:c>
      <x:c r="B269" s="15" t="str">
        <x:v>2026-04</x:v>
      </x:c>
      <x:c r="C269" s="15" t="str">
        <x:v>NetShort</x:v>
      </x:c>
      <x:c r="D269" s="15" t="str">
        <x:v>Supplement_DOCX</x:v>
      </x:c>
      <x:c r="E269" s="15" t="str">
        <x:v>S</x:v>
      </x:c>
      <x:c r="F269" s="15" t="str">
        <x:v>Not in base same month</x:v>
      </x:c>
      <x:c r="G269" s="15" t="str">
        <x:v>The Discarded Ace</x:v>
      </x:c>
      <x:c r="H269" s="15" t="str">
        <x:v>The Discarded Ace</x:v>
      </x:c>
      <x:c r="I269" s="15" t="str">
        <x:v>Supplement; AIGC flag parsed from title/logline</x:v>
      </x:c>
      <x:c r="J269" s="15" t="str">
        <x:v>Direct/Explicit AI</x:v>
      </x:c>
      <x:c r="K269" s="15" t="str">
        <x:v>Male / Power fantasy</x:v>
      </x:c>
      <x:c r="L269" s="15" t="str">
        <x:v>AI genius, divorce, whirlwind marriage. ③ 도박 역습극</x:v>
      </x:c>
      <x:c r="M269" s="15" t="str">
        <x:v>Revenge/regret payoff + High-status partner/authority</x:v>
      </x:c>
      <x:c r="N269" s="15" t="str">
        <x:v>강한 케미·보호/소유 신호를 주되 감정 확정은 지연</x:v>
      </x:c>
      <x:c r="O269" s="15" t="str">
        <x:v>High: VFX·세계관·시스템 UI·비현실 스케일을 직접 보상화</x:v>
      </x:c>
      <x:c r="P269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9" s="15" t="str">
        <x:v>보강자료 기반</x:v>
      </x:c>
      <x:c r="R269" s="15" t="str">
        <x:v>① 공식 블로그가 2026-04-28 게시. ② AI “주제”는 직접적이지만 제작 AIGC 여부는 미상. ③ 공식 유튜브 플레이리스트는 23,409 views를 노출했다.</x:v>
      </x:c>
      <x:c r="S269" s="15" t="str">
        <x:v>A / Strong verified</x:v>
      </x:c>
      <x:c r="T269" s="18" t="n">
        <x:v>93</x:v>
      </x:c>
      <x:c r="U269" s="15" t="str">
        <x:v>A_Core</x:v>
      </x:c>
      <x:c r="V269" s="15" t="str">
        <x:v>ADD_AND_OPTIONALLY_REPLACE_WEAK_SLOT</x:v>
      </x:c>
      <x:c r="W269" s="15" t="str">
        <x:v>Substitute Bride: A Twin's Revenge (rank 5, High)</x:v>
      </x:c>
      <x:c r="X269" s="15" t="str">
        <x:v>동월 약한 슬롯 대체 가능. 다만 보강자료도 공식 월간 차트가 아니므로 최종 행에서는 추가형으로 보존.</x:v>
      </x:c>
      <x:c r="Y269" s="15" t="str">
        <x:v>https://netshort.com/episode/the-5-time-rejected-luna-2048604611983441922
https://netshort.com/blog/the-5-time-rejected-luna-watch-online-rejected-love-and-no-turning-back-2049047965972037633</x:v>
      </x:c>
      <x:c r="Z269" s="15" t="str">
        <x:v>기존 슬롯 강제 교체 전, 공식 페이지/광고 라이브러리/조회수 재확인.</x:v>
      </x:c>
    </x:row>
    <x:row r="270">
      <x:c r="A270" s="15" t="str">
        <x:v>L0269</x:v>
      </x:c>
      <x:c r="B270" s="15" t="str">
        <x:v>2026-05</x:v>
      </x:c>
      <x:c r="C270" s="15" t="str">
        <x:v>NetShort</x:v>
      </x:c>
      <x:c r="D270" s="15" t="str">
        <x:v>Supplement_DOCX</x:v>
      </x:c>
      <x:c r="E270" s="15" t="str">
        <x:v>S</x:v>
      </x:c>
      <x:c r="F270" s="15" t="str">
        <x:v>Not in base same month</x:v>
      </x:c>
      <x:c r="G270" s="15" t="str">
        <x:v>After My Slumber, Gods Repent</x:v>
      </x:c>
      <x:c r="H270" s="15" t="str">
        <x:v>After My Slumber, Gods Repent</x:v>
      </x:c>
      <x:c r="I270" s="15" t="str">
        <x:v>Animation/VFX candidate; production AIGC unconfirmed</x:v>
      </x:c>
      <x:c r="J270" s="15" t="str">
        <x:v>Animation/VFX candidate; production AIGC unconfirmed</x:v>
      </x:c>
      <x:c r="K270" s="15" t="str">
        <x:v>Family regret / mixed</x:v>
      </x:c>
      <x:c r="L270" s="15" t="str">
        <x:v>Asgard, sibling regret, sacrifice. ② AI 천재 재기물. ③ 늑대인간 후회극</x:v>
      </x:c>
      <x:c r="M270" s="15" t="str">
        <x:v>Revenge/regret payoff + Child/family reunion</x:v>
      </x:c>
      <x:c r="N270" s="15" t="str">
        <x:v>굴욕/배신 후 첫 반격을 예고하고 본격 응징은 지연</x:v>
      </x:c>
      <x:c r="O270" s="15" t="str">
        <x:v>High: VFX·세계관·시스템 UI·비현실 스케일을 직접 보상화</x:v>
      </x:c>
      <x:c r="P270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0" s="15" t="str">
        <x:v>보강자료 기반</x:v>
      </x:c>
      <x:c r="R270" s="15" t="str">
        <x:v>Official NetShort page verifies Asgard/World Tree fantasy; fantasy VFX candidate, not direct production-AIGC.</x:v>
      </x:c>
      <x:c r="S270" s="15" t="str">
        <x:v>A / Strong verified</x:v>
      </x:c>
      <x:c r="T270" s="18" t="n">
        <x:v>91</x:v>
      </x:c>
      <x:c r="U270" s="15" t="str">
        <x:v>A_Core</x:v>
      </x:c>
      <x:c r="V270" s="15" t="str">
        <x:v>CORRECT_NOTE_AND_KEEP_FANTASY_CANDIDATE</x:v>
      </x:c>
      <x:c r="W270" s="15" t="str">
        <x:v>Fantasy VFX candidate</x:v>
      </x:c>
      <x:c r="X270" s="15" t="str">
        <x:v>2026-05-19 correction: removed mixed statement tying 5-time Luna to AI trend.</x:v>
      </x:c>
      <x:c r="Y270" s="15" t="str">
        <x:v>https://netshort.com/full-episodes/after-my-slumber-gods-repent-2052962354697601026
https://netshort.com/hotseries/after-my-slumber-gods-repent-2052962354697601026</x:v>
      </x:c>
      <x:c r="Z270" s="15" t="str">
        <x:v>실사/애니 제작 방식 캡처 확인 후 tracker status 조정.</x:v>
      </x:c>
    </x:row>
    <x:row r="271">
      <x:c r="A271" s="15" t="str">
        <x:v>L0270</x:v>
      </x:c>
      <x:c r="B271" s="15" t="str">
        <x:v>2026-05</x:v>
      </x:c>
      <x:c r="C271" s="15" t="str">
        <x:v>NetShort</x:v>
      </x:c>
      <x:c r="D271" s="15" t="str">
        <x:v>Supplement_DOCX</x:v>
      </x:c>
      <x:c r="E271" s="15" t="str">
        <x:v>S</x:v>
      </x:c>
      <x:c r="F271" s="15" t="str">
        <x:v>Not in base same month</x:v>
      </x:c>
      <x:c r="G271" s="15" t="str">
        <x:v>Divorced &amp; Unmasked: The AI Queen Rules</x:v>
      </x:c>
      <x:c r="H271" s="15" t="str">
        <x:v>Divorced &amp; Unmasked: The AI Queen Rules</x:v>
      </x:c>
      <x:c r="I271" s="15" t="str">
        <x:v>AI-theme only; production AIGC unconfirmed</x:v>
      </x:c>
      <x:c r="J271" s="15" t="str">
        <x:v>AI-theme only</x:v>
      </x:c>
      <x:c r="K271" s="15" t="str">
        <x:v>Family regret / mixed</x:v>
      </x:c>
      <x:c r="L271" s="15" t="str">
        <x:v>Asgard, sibling regret, sacrifice. ② AI 천재 재기물. ③ 늑대인간 후회극</x:v>
      </x:c>
      <x:c r="M271" s="15" t="str">
        <x:v>Hidden-identity reveal + Revenge/regret payoff + Child/family reunion</x:v>
      </x:c>
      <x:c r="N271" s="15" t="str">
        <x:v>정체/권력 공개 직전까지 결핍·오해를 누적</x:v>
      </x:c>
      <x:c r="O271" s="15" t="str">
        <x:v>Medium: 제목/소재가 AI theme일 뿐 제작 AIGC 증거가 아님. 트래커에서 production-AIGC와 분리.</x:v>
      </x:c>
      <x:c r="P271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1" s="15" t="str">
        <x:v>보강자료 기반</x:v>
      </x:c>
      <x:c r="R271" s="15" t="str">
        <x:v>Official NetShort page verifies AI-genius story theme; production AIGC not confirmed.</x:v>
      </x:c>
      <x:c r="S271" s="15" t="str">
        <x:v>A / Strong verified</x:v>
      </x:c>
      <x:c r="T271" s="18" t="n">
        <x:v>88</x:v>
      </x:c>
      <x:c r="U271" s="15" t="str">
        <x:v>B_Strong</x:v>
      </x:c>
      <x:c r="V271" s="15" t="str">
        <x:v>CORRECT_SOURCE_AND_KEEP_AI_THEME_ONLY</x:v>
      </x:c>
      <x:c r="W271" s="15" t="str">
        <x:v>AI-theme only bucket</x:v>
      </x:c>
      <x:c r="X271" s="15" t="str">
        <x:v>2026-05-19 correction: source URL corrected; not counted as production-AIGC.</x:v>
      </x:c>
      <x:c r="Y271" s="15" t="str">
        <x:v>https://netshort.com/full-episodes/divorced-unmasked-the-ai-queen-rules-2014152893217890306</x:v>
      </x:c>
      <x:c r="Z271" s="15" t="str">
        <x:v>제작 방식 확인 전까지 AIGC 확정군에 넣지 않음.</x:v>
      </x:c>
    </x:row>
    <x:row r="272">
      <x:c r="A272" s="15" t="str">
        <x:v>L0271</x:v>
      </x:c>
      <x:c r="B272" s="15" t="str">
        <x:v>2026-05</x:v>
      </x:c>
      <x:c r="C272" s="15" t="str">
        <x:v>NetShort</x:v>
      </x:c>
      <x:c r="D272" s="15" t="str">
        <x:v>Supplement_DOCX</x:v>
      </x:c>
      <x:c r="E272" s="15" t="str">
        <x:v>S</x:v>
      </x:c>
      <x:c r="F272" s="15" t="str">
        <x:v>Not in base same month</x:v>
      </x:c>
      <x:c r="G272" s="15" t="str">
        <x:v>The 5-time rejected luna</x:v>
      </x:c>
      <x:c r="H272" s="15" t="str">
        <x:v>The 5-time rejected luna</x:v>
      </x:c>
      <x:c r="I272" s="15" t="str">
        <x:v>Werewolf romance; AIGC not flagged</x:v>
      </x:c>
      <x:c r="J272" s="15" t="str">
        <x:v>Not flagged</x:v>
      </x:c>
      <x:c r="K272" s="15" t="str">
        <x:v>Female / Werewolf romance</x:v>
      </x:c>
      <x:c r="L272" s="15" t="str">
        <x:v>Rejected Luna / Mate regret / Mistaken identity / No-second-chance</x:v>
      </x:c>
      <x:c r="M272" s="15" t="str">
        <x:v>Repeated rejection + mate mismatch + remarriage + regret refusal</x:v>
      </x:c>
      <x:c r="N272" s="15" t="str">
        <x:v>다섯 번 거절의 누적과 재혼 선택을 무료부에 배치하고 알파의 후회·진짜 메이트 판명을 유료부로 이월</x:v>
      </x:c>
      <x:c r="O272" s="15" t="str">
        <x:v>Low-Medium: werewolf 변신/VFX 컷은 가능하지만 제작 AIGC 후보로 보지 않음.</x:v>
      </x:c>
      <x:c r="P272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2" s="15" t="str">
        <x:v>보강자료 기반</x:v>
      </x:c>
      <x:c r="R272" s="15" t="str">
        <x:v>Official NetShort pages verify the rejected-luna werewolf trend; user correction confirms this should not be treated as AIGC.</x:v>
      </x:c>
      <x:c r="S272" s="15" t="str">
        <x:v>A / Strong verified</x:v>
      </x:c>
      <x:c r="T272" s="18" t="n">
        <x:v>96</x:v>
      </x:c>
      <x:c r="U272" s="15" t="str">
        <x:v>A_Core</x:v>
      </x:c>
      <x:c r="V272" s="15" t="str">
        <x:v>CORRECT_EXISTING_AND_KEEP</x:v>
      </x:c>
      <x:c r="W272" s="15" t="str">
        <x:v>User callout trend title</x:v>
      </x:c>
      <x:c r="X272" s="15" t="str">
        <x:v>2026-05-19 correction: moved out of AIGC/AIGC-friendly bucket; retained as core werewolf trend.</x:v>
      </x:c>
      <x:c r="Y272" s="15" t="str">
        <x:v>https://netshort.com/full-episodes/the-5-time-rejected-luna-2048604611983441922
https://netshort.com/hotseries/the-5-time-rejected-luna-2048604611983441922</x:v>
      </x:c>
      <x:c r="Z272" s="15" t="str">
        <x:v>ReelShort Rejected Luna Is the Alpha Queen과 구조 비교.</x:v>
      </x:c>
    </x:row>
    <x:row r="273">
      <x:c r="A273" s="15" t="str">
        <x:v>L0272</x:v>
      </x:c>
      <x:c r="B273" s="15" t="str">
        <x:v>2025-06</x:v>
      </x:c>
      <x:c r="C273" s="15" t="str">
        <x:v>DramaWave</x:v>
      </x:c>
      <x:c r="D273" s="15" t="str">
        <x:v>Supplement_DOCX</x:v>
      </x:c>
      <x:c r="E273" s="15" t="str">
        <x:v>S</x:v>
      </x:c>
      <x:c r="F273" s="15" t="str">
        <x:v>Not in base same month</x:v>
      </x:c>
      <x:c r="G273" s="15" t="str">
        <x:v>Found You Again, My Healing Angel</x:v>
      </x:c>
      <x:c r="H273" s="15" t="str">
        <x:v>Found You Again, My Healing Angel</x:v>
      </x:c>
      <x:c r="I273" s="15" t="str">
        <x:v>Supplement; AIGC flag parsed from title/logline</x:v>
      </x:c>
      <x:c r="J273" s="15" t="str">
        <x:v>Not flagged</x:v>
      </x:c>
      <x:c r="K273" s="15" t="str">
        <x:v>Mixed / General</x:v>
      </x:c>
      <x:c r="L273" s="15" t="str">
        <x:v>healing power, reunion, destiny</x:v>
      </x:c>
      <x:c r="M273" s="15" t="str">
        <x:v>Core melodrama hook</x:v>
      </x:c>
      <x:c r="N273" s="15" t="str">
        <x:v>무료부에서는 결핍과 예고, 유료부에서는 보상/진실/역전</x:v>
      </x:c>
      <x:c r="O273" s="15" t="str">
        <x:v>Medium: 광고 컷·후킹 이미지 보강용</x:v>
      </x:c>
      <x:c r="P273" s="15" t="str">
        <x:v>어린 시절 요양원에서 만난 치유 능력의 소녀를 16년 뒤 다시 찾아 결혼하려는 재회 로맨스. 태그: healing power, reunion, destiny.</x:v>
      </x:c>
      <x:c r="Q273" s="15" t="str">
        <x:v>보강자료 기반</x:v>
      </x:c>
      <x:c r="R273" s="15" t="str">
        <x:v>공개 정량치는 미상. 감정 과잉형 재회물 슬롯으로 편성 가치가 있다.</x:v>
      </x:c>
      <x:c r="S273" s="15" t="str">
        <x:v>B / Useful verified</x:v>
      </x:c>
      <x:c r="T273" s="18" t="n">
        <x:v>73</x:v>
      </x:c>
      <x:c r="U273" s="15" t="str">
        <x:v>B_Strong</x:v>
      </x:c>
      <x:c r="V273" s="15" t="str">
        <x:v>ADD_AND_OPTIONALLY_REPLACE_WEAK_SLOT</x:v>
      </x:c>
      <x:c r="W273" s="15" t="str">
        <x:v>Born with Magic (rank 3, Low)</x:v>
      </x:c>
      <x:c r="X273" s="15" t="str">
        <x:v>동월 약한 슬롯 대체 가능. 다만 보강자료도 공식 월간 차트가 아니므로 최종 행에서는 추가형으로 보존.</x:v>
      </x:c>
      <x:c r="Y273" s="15" t="str">
        <x:v>https://m.mydramawave.com/series/fbYGFywu7f/2g3QCxwnct?from_page=library&amp;return_to=%2Fmy-list</x:v>
      </x:c>
      <x:c r="Z273" s="15" t="str">
        <x:v>기존 슬롯 강제 교체 전, 공식 페이지/광고 라이브러리/조회수 재확인.</x:v>
      </x:c>
    </x:row>
    <x:row r="274">
      <x:c r="A274" s="15" t="str">
        <x:v>L0273</x:v>
      </x:c>
      <x:c r="B274" s="15" t="str">
        <x:v>2025-07</x:v>
      </x:c>
      <x:c r="C274" s="15" t="str">
        <x:v>DramaWave</x:v>
      </x:c>
      <x:c r="D274" s="15" t="str">
        <x:v>Supplement_DOCX</x:v>
      </x:c>
      <x:c r="E274" s="15" t="str">
        <x:v>S</x:v>
      </x:c>
      <x:c r="F274" s="15" t="str">
        <x:v>Not in base same month</x:v>
      </x:c>
      <x:c r="G274" s="15" t="str">
        <x:v>Heartbreak to CEO’s Bride</x:v>
      </x:c>
      <x:c r="H274" s="15" t="str">
        <x:v>Heartbreak to CEO’s Bride</x:v>
      </x:c>
      <x:c r="I274" s="15" t="str">
        <x:v>Supplement; AIGC flag parsed from title/logline</x:v>
      </x:c>
      <x:c r="J274" s="15" t="str">
        <x:v>Not flagged</x:v>
      </x:c>
      <x:c r="K274" s="15" t="str">
        <x:v>Female / Romance</x:v>
      </x:c>
      <x:c r="L274" s="15" t="str">
        <x:v>wedding humiliation, CEO, grandmother intervention</x:v>
      </x:c>
      <x:c r="M274" s="15" t="str">
        <x:v>High-status partner/authority</x:v>
      </x:c>
      <x:c r="N274" s="15" t="str">
        <x:v>강한 케미·보호/소유 신호를 주되 감정 확정은 지연</x:v>
      </x:c>
      <x:c r="O274" s="15" t="str">
        <x:v>Medium-High: 압도적 외모·의상·공간 미감으로 실사형 보상 강화</x:v>
      </x:c>
      <x:c r="P274" s="15" t="str">
        <x:v>결혼식 날 파혼당한 여주가 할머니의 개입으로 새로운 CEO와 연결되는 재출발 로맨스. 태그: wedding humiliation, CEO, grandmother intervention.</x:v>
      </x:c>
      <x:c r="Q274" s="15" t="str">
        <x:v>보강자료 기반</x:v>
      </x:c>
      <x:c r="R274" s="15" t="str">
        <x:v>성과 수치는 미상이나, DramaWave가 가장 즐겨 쓰는 파혼→재편입 문법의 전형이다.</x:v>
      </x:c>
      <x:c r="S274" s="15" t="str">
        <x:v>B / Useful verified</x:v>
      </x:c>
      <x:c r="T274" s="18" t="n">
        <x:v>73</x:v>
      </x:c>
      <x:c r="U274" s="15" t="str">
        <x:v>B_Strong</x:v>
      </x:c>
      <x:c r="V274" s="15" t="str">
        <x:v>ADD_AND_OPTIONALLY_REPLACE_WEAK_SLOT</x:v>
      </x:c>
      <x:c r="W274" s="15" t="str">
        <x:v>My Super-Vision Husband (rank 2, Low)</x:v>
      </x:c>
      <x:c r="X274" s="15" t="str">
        <x:v>동월 약한 슬롯 대체 가능. 다만 보강자료도 공식 월간 차트가 아니므로 최종 행에서는 추가형으로 보존.</x:v>
      </x:c>
      <x:c r="Y274" s="15" t="str">
        <x:v>https://m.mydramawave.com/series/Yt6rQYBU8n/fT10jfTFHZ?from_page=library&amp;return_to=%2Fmy-list</x:v>
      </x:c>
      <x:c r="Z274" s="15" t="str">
        <x:v>기존 슬롯 강제 교체 전, 공식 페이지/광고 라이브러리/조회수 재확인.</x:v>
      </x:c>
    </x:row>
    <x:row r="275">
      <x:c r="A275" s="15" t="str">
        <x:v>L0274</x:v>
      </x:c>
      <x:c r="B275" s="15" t="str">
        <x:v>2025-08</x:v>
      </x:c>
      <x:c r="C275" s="15" t="str">
        <x:v>DramaWave</x:v>
      </x:c>
      <x:c r="D275" s="15" t="str">
        <x:v>Supplement_DOCX</x:v>
      </x:c>
      <x:c r="E275" s="15" t="str">
        <x:v>S</x:v>
      </x:c>
      <x:c r="F275" s="15" t="str">
        <x:v>Not in base same month</x:v>
      </x:c>
      <x:c r="G275" s="15" t="str">
        <x:v>Grandma Destroyed Her Heir</x:v>
      </x:c>
      <x:c r="H275" s="15" t="str">
        <x:v>Grandma Destroyed Her Heir</x:v>
      </x:c>
      <x:c r="I275" s="15" t="str">
        <x:v>Supplement; AIGC flag parsed from title/logline</x:v>
      </x:c>
      <x:c r="J275" s="15" t="str">
        <x:v>Not flagged</x:v>
      </x:c>
      <x:c r="K275" s="15" t="str">
        <x:v>Family regret / mixed</x:v>
      </x:c>
      <x:c r="L275" s="15" t="str">
        <x:v>pregnancy, in-laws, accident, inheritance</x:v>
      </x:c>
      <x:c r="M275" s="15" t="str">
        <x:v>Hidden-identity reveal + Child/family reunion</x:v>
      </x:c>
      <x:c r="N275" s="15" t="str">
        <x:v>정체/권력 공개 직전까지 결핍·오해를 누적</x:v>
      </x:c>
      <x:c r="O275" s="15" t="str">
        <x:v>Medium: 아이/가족 감정은 직관화하되 섬세한 연기는 과신 금지</x:v>
      </x:c>
      <x:c r="P275" s="15" t="str">
        <x:v>진통 중 홀로 병원으로 향하던 임산부가 시댁의 방해로 사고를 당하며 벌어지는 가족극. 태그: pregnancy, in-laws, accident, inheritance.</x:v>
      </x:c>
      <x:c r="Q275" s="15" t="str">
        <x:v>보강자료 기반</x:v>
      </x:c>
      <x:c r="R275" s="15" t="str">
        <x:v>공식 수치 미상. 강한 시월드/가족분노 훅으로 보강 가치가 있다.</x:v>
      </x:c>
      <x:c r="S275" s="15" t="str">
        <x:v>B / Useful verified</x:v>
      </x:c>
      <x:c r="T275" s="18" t="n">
        <x:v>81</x:v>
      </x:c>
      <x:c r="U275" s="15" t="str">
        <x:v>B_Strong</x:v>
      </x:c>
      <x:c r="V275" s="15" t="str">
        <x:v>ADD_AND_OPTIONALLY_REPLACE_WEAK_SLOT</x:v>
      </x:c>
      <x:c r="W275" s="15" t="str">
        <x:v>Love at Fifty / Divorce Dreams cluster (rank 3, Low)</x:v>
      </x:c>
      <x:c r="X275" s="15" t="str">
        <x:v>동월 약한 슬롯 대체 가능. 다만 보강자료도 공식 월간 차트가 아니므로 최종 행에서는 추가형으로 보존.</x:v>
      </x:c>
      <x:c r="Y275" s="15" t="str">
        <x:v>https://m.mydramawave.com/series/vnsIgyVWmw/oYefCR7q6A?from_source=sm</x:v>
      </x:c>
      <x:c r="Z275" s="15" t="str">
        <x:v>기존 슬롯 강제 교체 전, 공식 페이지/광고 라이브러리/조회수 재확인.</x:v>
      </x:c>
    </x:row>
    <x:row r="276">
      <x:c r="A276" s="15" t="str">
        <x:v>L0275</x:v>
      </x:c>
      <x:c r="B276" s="15" t="str">
        <x:v>2025-09</x:v>
      </x:c>
      <x:c r="C276" s="15" t="str">
        <x:v>DramaWave</x:v>
      </x:c>
      <x:c r="D276" s="15" t="str">
        <x:v>Supplement_DOCX</x:v>
      </x:c>
      <x:c r="E276" s="15" t="str">
        <x:v>S</x:v>
      </x:c>
      <x:c r="F276" s="15" t="str">
        <x:v>Not in base same month</x:v>
      </x:c>
      <x:c r="G276" s="15" t="str">
        <x:v>The Mighty Lady Fixes the Manor</x:v>
      </x:c>
      <x:c r="H276" s="15" t="str">
        <x:v>The Mighty Lady Fixes the Manor</x:v>
      </x:c>
      <x:c r="I276" s="15" t="str">
        <x:v>Supplement; AIGC flag parsed from title/logline</x:v>
      </x:c>
      <x:c r="J276" s="15" t="str">
        <x:v>Not flagged</x:v>
      </x:c>
      <x:c r="K276" s="15" t="str">
        <x:v>Mixed / General</x:v>
      </x:c>
      <x:c r="L276" s="15" t="str">
        <x:v>rebirth, general, manor fix, fish-out-of-water</x:v>
      </x:c>
      <x:c r="M276" s="15" t="str">
        <x:v>High-status partner/authority</x:v>
      </x:c>
      <x:c r="N276" s="15" t="str">
        <x:v>무료부에서는 결핍과 예고, 유료부에서는 보상/진실/역전</x:v>
      </x:c>
      <x:c r="O276" s="15" t="str">
        <x:v>Medium: 광고 컷·후킹 이미지 보강용</x:v>
      </x:c>
      <x:c r="P276" s="15" t="str">
        <x:v>로맨스 소설을 비웃던 복싱 챔프가 소설 속 공주로 깨어나, 쓰레기들을 응징하고 장군을 구하는 전생전이물. 태그: rebirth, general, manor fix, fish-out-of-water.</x:v>
      </x:c>
      <x:c r="Q276" s="15" t="str">
        <x:v>보강자료 기반</x:v>
      </x:c>
      <x:c r="R276" s="15" t="str">
        <x:v>스토리 후킹이 매우 명확하고, 후일 AI 프로그램과도 어울리는 게임형/세계관형 구조다. 정량치는 미상.</x:v>
      </x:c>
      <x:c r="S276" s="15" t="str">
        <x:v>B / Useful verified</x:v>
      </x:c>
      <x:c r="T276" s="18" t="n">
        <x:v>73</x:v>
      </x:c>
      <x:c r="U276" s="15" t="str">
        <x:v>B_Strong</x:v>
      </x:c>
      <x:c r="V276" s="15" t="str">
        <x:v>ADD_AND_OPTIONALLY_REPLACE_WEAK_SLOT</x:v>
      </x:c>
      <x:c r="W276" s="15" t="str">
        <x:v>Born with Magic (rank 3, Low)</x:v>
      </x:c>
      <x:c r="X276" s="15" t="str">
        <x:v>동월 약한 슬롯 대체 가능. 다만 보강자료도 공식 월간 차트가 아니므로 최종 행에서는 추가형으로 보존.</x:v>
      </x:c>
      <x:c r="Y276" s="15" t="str">
        <x:v>https://m.mydramawave.com/free-app/share/episode/tf1wrp7iuh?audiotrack_language=en-US&amp;from=share&amp;language=en&amp;share_user_id=12106360319&amp;subtitle_language=en-US</x:v>
      </x:c>
      <x:c r="Z276" s="15" t="str">
        <x:v>기존 슬롯 강제 교체 전, 공식 페이지/광고 라이브러리/조회수 재확인.</x:v>
      </x:c>
    </x:row>
    <x:row r="277">
      <x:c r="A277" s="15" t="str">
        <x:v>L0276</x:v>
      </x:c>
      <x:c r="B277" s="15" t="str">
        <x:v>2025-10</x:v>
      </x:c>
      <x:c r="C277" s="15" t="str">
        <x:v>DramaWave</x:v>
      </x:c>
      <x:c r="D277" s="15" t="str">
        <x:v>Supplement_DOCX</x:v>
      </x:c>
      <x:c r="E277" s="15" t="str">
        <x:v>S</x:v>
      </x:c>
      <x:c r="F277" s="15" t="str">
        <x:v>Not in base same month</x:v>
      </x:c>
      <x:c r="G277" s="15" t="str">
        <x:v>Wrong Sperm, Right Love</x:v>
      </x:c>
      <x:c r="H277" s="15" t="str">
        <x:v>Wrong Sperm, Right Love</x:v>
      </x:c>
      <x:c r="I277" s="15" t="str">
        <x:v>Supplement; AIGC flag parsed from title/logline</x:v>
      </x:c>
      <x:c r="J277" s="15" t="str">
        <x:v>Not flagged</x:v>
      </x:c>
      <x:c r="K277" s="15" t="str">
        <x:v>Female / Family-romance</x:v>
      </x:c>
      <x:c r="L277" s="15" t="str">
        <x:v>sperm mix-up, billionaire arms dealer, pregnancy</x:v>
      </x:c>
      <x:c r="M277" s="15" t="str">
        <x:v>High-status partner/authority + Child/family reunion</x:v>
      </x:c>
      <x:c r="N277" s="15" t="str">
        <x:v>혈연/아이 진실을 반쯤 드러내고 대면·인정은 지연</x:v>
      </x:c>
      <x:c r="O277" s="15" t="str">
        <x:v>Medium-High: 압도적 외모·의상·공간 미감으로 실사형 보상 강화</x:v>
      </x:c>
      <x:c r="P277" s="15" t="str">
        <x:v>정자 바꿔치기로 억만장자 무기상 엑셀의 아이를 갖게 된 데이지가 약혼녀로 동거를 시작하며 벌어지는 작품. 태그: sperm mix-up, billionaire arms dealer, pregnancy.</x:v>
      </x:c>
      <x:c r="Q277" s="15" t="str">
        <x:v>보강자료 기반</x:v>
      </x:c>
      <x:c r="R277" s="15" t="str">
        <x:v>공개 뷰 수치는 불명확하지만 DramaWave가 미친 듯이 잘 쓰는 “실수 임신+재벌” 코어 훅이다.</x:v>
      </x:c>
      <x:c r="S277" s="15" t="str">
        <x:v>B / Useful verified</x:v>
      </x:c>
      <x:c r="T277" s="18" t="n">
        <x:v>73</x:v>
      </x:c>
      <x:c r="U277" s="15" t="str">
        <x:v>B_Strong</x:v>
      </x:c>
      <x:c r="V277" s="15" t="str">
        <x:v>ADD_AND_OPTIONALLY_REPLACE_WEAK_SLOT</x:v>
      </x:c>
      <x:c r="W277" s="15" t="str">
        <x:v>Love at Fifty (rank 3, Low)</x:v>
      </x:c>
      <x:c r="X277" s="15" t="str">
        <x:v>동월 약한 슬롯 대체 가능. 다만 보강자료도 공식 월간 차트가 아니므로 최종 행에서는 추가형으로 보존.</x:v>
      </x:c>
      <x:c r="Y277" s="15" t="str">
        <x:v>https://m.mydramawave.com/series/wy5NhpK965/EmL3D8DA5T?from_page=home&amp;return_to=%2F
https://www.youtube.com/watch?v=7D7fO9R1FTg</x:v>
      </x:c>
      <x:c r="Z277" s="15" t="str">
        <x:v>기존 슬롯 강제 교체 전, 공식 페이지/광고 라이브러리/조회수 재확인.</x:v>
      </x:c>
    </x:row>
    <x:row r="278">
      <x:c r="A278" s="15" t="str">
        <x:v>L0277</x:v>
      </x:c>
      <x:c r="B278" s="15" t="str">
        <x:v>2025-11</x:v>
      </x:c>
      <x:c r="C278" s="15" t="str">
        <x:v>DramaWave</x:v>
      </x:c>
      <x:c r="D278" s="15" t="str">
        <x:v>Supplement_DOCX</x:v>
      </x:c>
      <x:c r="E278" s="15" t="str">
        <x:v>S</x:v>
      </x:c>
      <x:c r="F278" s="15" t="str">
        <x:v>Not in base same month</x:v>
      </x:c>
      <x:c r="G278" s="15" t="str">
        <x:v>The Mafia King Wants Me</x:v>
      </x:c>
      <x:c r="H278" s="15" t="str">
        <x:v>The Mafia King Wants Me</x:v>
      </x:c>
      <x:c r="I278" s="15" t="str">
        <x:v>Supplement; AIGC flag parsed from title/logline</x:v>
      </x:c>
      <x:c r="J278" s="15" t="str">
        <x:v>Not flagged</x:v>
      </x:c>
      <x:c r="K278" s="15" t="str">
        <x:v>Female / Family-romance</x:v>
      </x:c>
      <x:c r="L278" s="15" t="str">
        <x:v>mafia, betrayal, rescue, contract vows</x:v>
      </x:c>
      <x:c r="M278" s="15" t="str">
        <x:v>Hidden-identity reveal + Revenge/regret payoff + High-status partner/authority</x:v>
      </x:c>
      <x:c r="N278" s="15" t="str">
        <x:v>굴욕/배신 후 첫 반격을 예고하고 본격 응징은 지연</x:v>
      </x:c>
      <x:c r="O278" s="15" t="str">
        <x:v>Medium-High: 압도적 외모·의상·공간 미감으로 실사형 보상 강화</x:v>
      </x:c>
      <x:c r="P278" s="15" t="str">
        <x:v>할머니를 구하려다 마피아 킹 드레이븐을 구하게 된 엘레나가 배신당한 가족을 떠나 위험한 사랑에 빠지는 마피아 멜로. 태그: mafia, betrayal, rescue, contract vows.</x:v>
      </x:c>
      <x:c r="Q278" s="15" t="str">
        <x:v>보강자료 기반</x:v>
      </x:c>
      <x:c r="R278" s="15" t="str">
        <x:v>공식 유튜브 검색결과에 수차례 재노출되고, 대표 영상은 148K views를 보였다.</x:v>
      </x:c>
      <x:c r="S278" s="15" t="str">
        <x:v>A / Strong verified</x:v>
      </x:c>
      <x:c r="T278" s="18" t="n">
        <x:v>93</x:v>
      </x:c>
      <x:c r="U278" s="15" t="str">
        <x:v>A_Core</x:v>
      </x:c>
      <x:c r="V278" s="15" t="str">
        <x:v>ADD_AND_OPTIONALLY_REPLACE_WEAK_SLOT</x:v>
      </x:c>
      <x:c r="W278" s="15" t="str">
        <x:v>DramaWave app/channel library (rank 3, Medium)</x:v>
      </x:c>
      <x:c r="X278" s="15" t="str">
        <x:v>동월 약한 슬롯 대체 가능. 다만 보강자료도 공식 월간 차트가 아니므로 최종 행에서는 추가형으로 보존.</x:v>
      </x:c>
      <x:c r="Y278" s="15" t="str">
        <x:v>https://m.mydramawave.com/series/TkkrOs4966/HUyL2FLKPQ?from_source=sm
https://www.youtube.com/watch?v=SC921UxKlc0</x:v>
      </x:c>
      <x:c r="Z278" s="15" t="str">
        <x:v>기존 슬롯 강제 교체 전, 공식 페이지/광고 라이브러리/조회수 재확인.</x:v>
      </x:c>
    </x:row>
    <x:row r="279">
      <x:c r="A279" s="15" t="str">
        <x:v>L0278</x:v>
      </x:c>
      <x:c r="B279" s="15" t="str">
        <x:v>2025-12</x:v>
      </x:c>
      <x:c r="C279" s="15" t="str">
        <x:v>DramaWave</x:v>
      </x:c>
      <x:c r="D279" s="15" t="str">
        <x:v>Supplement_DOCX</x:v>
      </x:c>
      <x:c r="E279" s="15" t="str">
        <x:v>S</x:v>
      </x:c>
      <x:c r="F279" s="15" t="str">
        <x:v>Not in base same month</x:v>
      </x:c>
      <x:c r="G279" s="15" t="str">
        <x:v>The Mafia King Wants Me</x:v>
      </x:c>
      <x:c r="H279" s="15" t="str">
        <x:v>The Mafia King Wants Me</x:v>
      </x:c>
      <x:c r="I279" s="15" t="str">
        <x:v>Supplement; AIGC flag parsed from title/logline</x:v>
      </x:c>
      <x:c r="J279" s="15" t="str">
        <x:v>Not flagged</x:v>
      </x:c>
      <x:c r="K279" s="15" t="str">
        <x:v>Female / Romance</x:v>
      </x:c>
      <x:c r="L279" s="15" t="str">
        <x:v>Supplemental / see logline</x:v>
      </x:c>
      <x:c r="M279" s="15" t="str">
        <x:v>Hidden-identity reveal + High-status partner/authority</x:v>
      </x:c>
      <x:c r="N279" s="15" t="str">
        <x:v>강한 케미·보호/소유 신호를 주되 감정 확정은 지연</x:v>
      </x:c>
      <x:c r="O279" s="15" t="str">
        <x:v>Medium: 광고 컷·후킹 이미지 보강용</x:v>
      </x:c>
      <x:c r="P279" s="15" t="str">
        <x:v>11월~12월 체류형 카드. 로그라인 동일.</x:v>
      </x:c>
      <x:c r="Q279" s="15" t="str">
        <x:v>보강자료 기반</x:v>
      </x:c>
      <x:c r="R279" s="15" t="str">
        <x:v>2026-05-15 기준 “5 months ago” 노출인 만큼 2025년 연말 강세 작품으로 보는 게 합리적이다. 대표 영상 조회는 121K~148K 수준으로 확인된다.</x:v>
      </x:c>
      <x:c r="S279" s="15" t="str">
        <x:v>A / Strong verified</x:v>
      </x:c>
      <x:c r="T279" s="18" t="n">
        <x:v>93</x:v>
      </x:c>
      <x:c r="U279" s="15" t="str">
        <x:v>A_Core</x:v>
      </x:c>
      <x:c r="V279" s="15" t="str">
        <x:v>ADD_AND_OPTIONALLY_REPLACE_WEAK_SLOT</x:v>
      </x:c>
      <x:c r="W279" s="15" t="str">
        <x:v>그대는 오아시스 (rank 3, Low)</x:v>
      </x:c>
      <x:c r="X279" s="15" t="str">
        <x:v>동월 약한 슬롯 대체 가능. 다만 보강자료도 공식 월간 차트가 아니므로 최종 행에서는 추가형으로 보존.</x:v>
      </x:c>
      <x:c r="Y279" s="15" t="str">
        <x:v>https://m.mydramawave.com/series/TkkrOs4966/HUyL2FLKPQ?from_source=sm
https://www.youtube.com/watch?v=SC921UxKlc0</x:v>
      </x:c>
      <x:c r="Z279" s="15" t="str">
        <x:v>기존 슬롯 강제 교체 전, 공식 페이지/광고 라이브러리/조회수 재확인.</x:v>
      </x:c>
    </x:row>
    <x:row r="280">
      <x:c r="A280" s="15" t="str">
        <x:v>L0279</x:v>
      </x:c>
      <x:c r="B280" s="15" t="str">
        <x:v>2026-01</x:v>
      </x:c>
      <x:c r="C280" s="15" t="str">
        <x:v>DramaWave</x:v>
      </x:c>
      <x:c r="D280" s="15" t="str">
        <x:v>Supplement_DOCX</x:v>
      </x:c>
      <x:c r="E280" s="15" t="str">
        <x:v>S</x:v>
      </x:c>
      <x:c r="F280" s="15" t="str">
        <x:v>Not in base same month</x:v>
      </x:c>
      <x:c r="G280" s="15" t="str">
        <x:v>Wrong Sperm, Right Love</x:v>
      </x:c>
      <x:c r="H280" s="15" t="str">
        <x:v>Wrong Sperm, Right Love</x:v>
      </x:c>
      <x:c r="I280" s="15" t="str">
        <x:v>Supplement; AIGC flag parsed from title/logline</x:v>
      </x:c>
      <x:c r="J280" s="15" t="str">
        <x:v>Not flagged</x:v>
      </x:c>
      <x:c r="K280" s="15" t="str">
        <x:v>Female / Romance</x:v>
      </x:c>
      <x:c r="L280" s="15" t="str">
        <x:v>Supplemental / see logline</x:v>
      </x:c>
      <x:c r="M280" s="15" t="str">
        <x:v>Core melodrama hook</x:v>
      </x:c>
      <x:c r="N280" s="15" t="str">
        <x:v>무료부에서는 결핍과 예고, 유료부에서는 보상/진실/역전</x:v>
      </x:c>
      <x:c r="O280" s="15" t="str">
        <x:v>Medium: 광고 컷·후킹 이미지 보강용</x:v>
      </x:c>
      <x:c r="P280" s="15" t="str">
        <x:v>2026년 초까지 끌고 갈 수 있는 하이컨셉 임신 멜로. 로그라인 동일.</x:v>
      </x:c>
      <x:c r="Q280" s="15" t="str">
        <x:v>보강자료 기반</x:v>
      </x:c>
      <x:c r="R280" s="15" t="str">
        <x:v>커뮤니티/플랫폼 재가공 영상이 빠르게 붙는 유형이지만, 공식 수치 자체는 미상.</x:v>
      </x:c>
      <x:c r="S280" s="15" t="str">
        <x:v>B / Useful verified</x:v>
      </x:c>
      <x:c r="T280" s="18" t="n">
        <x:v>81</x:v>
      </x:c>
      <x:c r="U280" s="15" t="str">
        <x:v>B_Strong</x:v>
      </x:c>
      <x:c r="V280" s="15" t="str">
        <x:v>ADD_AND_OPTIONALLY_REPLACE_WEAK_SLOT</x:v>
      </x:c>
      <x:c r="W280" s="15" t="str">
        <x:v>DramaWave YouTube Shorts catalog (rank 3, Medium)</x:v>
      </x:c>
      <x:c r="X280" s="15" t="str">
        <x:v>동월 약한 슬롯 대체 가능. 다만 보강자료도 공식 월간 차트가 아니므로 최종 행에서는 추가형으로 보존.</x:v>
      </x:c>
      <x:c r="Y280" s="15" t="str">
        <x:v>https://m.mydramawave.com/series/wy5NhpK965/EmL3D8DA5T?from_page=home&amp;return_to=%2F
https://www.youtube.com/watch?v=7D7fO9R1FTg</x:v>
      </x:c>
      <x:c r="Z280" s="15" t="str">
        <x:v>기존 슬롯 강제 교체 전, 공식 페이지/광고 라이브러리/조회수 재확인.</x:v>
      </x:c>
    </x:row>
    <x:row r="281">
      <x:c r="A281" s="15" t="str">
        <x:v>L0280</x:v>
      </x:c>
      <x:c r="B281" s="15" t="str">
        <x:v>2026-02</x:v>
      </x:c>
      <x:c r="C281" s="15" t="str">
        <x:v>DramaWave</x:v>
      </x:c>
      <x:c r="D281" s="15" t="str">
        <x:v>Supplement_DOCX</x:v>
      </x:c>
      <x:c r="E281" s="15" t="str">
        <x:v>S</x:v>
      </x:c>
      <x:c r="F281" s="15" t="str">
        <x:v>Not in base same month</x:v>
      </x:c>
      <x:c r="G281" s="15" t="str">
        <x:v>Attribute Seizer: Undead Overlord</x:v>
      </x:c>
      <x:c r="H281" s="15" t="str">
        <x:v>Attribute Seizer: Undead Overlord</x:v>
      </x:c>
      <x:c r="I281" s="15" t="str">
        <x:v>Supplement; AIGC flag parsed from title/logline</x:v>
      </x:c>
      <x:c r="J281" s="15" t="str">
        <x:v>AIGC-friendly genre</x:v>
      </x:c>
      <x:c r="K281" s="15" t="str">
        <x:v>Male / Power fantasy</x:v>
      </x:c>
      <x:c r="L281" s="15" t="str">
        <x:v>Supplemental / see logline</x:v>
      </x:c>
      <x:c r="M281" s="15" t="str">
        <x:v>Progression/spectacle</x:v>
      </x:c>
      <x:c r="N281" s="15" t="str">
        <x:v>첫 각성·첫 스킬만 보여주고 상위 보스/진짜 권위는 유료부로 이월</x:v>
      </x:c>
      <x:c r="O281" s="15" t="str">
        <x:v>High: VFX·세계관·시스템 UI·비현실 스케일을 직접 보상화</x:v>
      </x:c>
      <x:c r="P281" s="15" t="str">
        <x:v>① 최약체 네크로맨서가 특성 약탈 재능으로 언데드 군단을 키우는 게임형 판타지. ② 복싱 챔프가 공주로 깨어나는 메타 로맨스 판타지.</x:v>
      </x:c>
      <x:c r="Q281" s="15" t="str">
        <x:v>보강자료 기반</x:v>
      </x:c>
      <x:c r="R281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1" s="15" t="str">
        <x:v>B / Useful verified</x:v>
      </x:c>
      <x:c r="T281" s="18" t="n">
        <x:v>81</x:v>
      </x:c>
      <x:c r="U281" s="15" t="str">
        <x:v>B_Strong</x:v>
      </x:c>
      <x:c r="V281" s="15" t="str">
        <x:v>ADD_AND_OPTIONALLY_REPLACE_WEAK_SLOT</x:v>
      </x:c>
      <x:c r="W281" s="15" t="str">
        <x:v>Delta Force Queen Returns (rank 5, High)</x:v>
      </x:c>
      <x:c r="X281" s="15" t="str">
        <x:v>동월 약한 슬롯 대체 가능. 다만 보강자료도 공식 월간 차트가 아니므로 최종 행에서는 추가형으로 보존.</x:v>
      </x:c>
      <x:c r="Y281" s="15" t="str">
        <x:v>https://m.mydramawave.com/share/episode/V68OHym7Su?from=share&amp;language=en&amp;share_user_id=33300623871
https://ai.mydramawave.com/</x:v>
      </x:c>
      <x:c r="Z281" s="15" t="str">
        <x:v>기존 슬롯 강제 교체 전, 공식 페이지/광고 라이브러리/조회수 재확인.</x:v>
      </x:c>
    </x:row>
    <x:row r="282">
      <x:c r="A282" s="15" t="str">
        <x:v>L0281</x:v>
      </x:c>
      <x:c r="B282" s="15" t="str">
        <x:v>2026-02</x:v>
      </x:c>
      <x:c r="C282" s="15" t="str">
        <x:v>DramaWave</x:v>
      </x:c>
      <x:c r="D282" s="15" t="str">
        <x:v>Supplement_DOCX</x:v>
      </x:c>
      <x:c r="E282" s="15" t="str">
        <x:v>S</x:v>
      </x:c>
      <x:c r="F282" s="15" t="str">
        <x:v>Not in base same month</x:v>
      </x:c>
      <x:c r="G282" s="15" t="str">
        <x:v>The Mighty Lady Fixes the Manor</x:v>
      </x:c>
      <x:c r="H282" s="15" t="str">
        <x:v>The Mighty Lady Fixes the Manor</x:v>
      </x:c>
      <x:c r="I282" s="15" t="str">
        <x:v>Supplement; AIGC flag parsed from title/logline</x:v>
      </x:c>
      <x:c r="J282" s="15" t="str">
        <x:v>Not flagged</x:v>
      </x:c>
      <x:c r="K282" s="15" t="str">
        <x:v>Mixed / General</x:v>
      </x:c>
      <x:c r="L282" s="15" t="str">
        <x:v>Supplemental / see logline</x:v>
      </x:c>
      <x:c r="M282" s="15" t="str">
        <x:v>Core melodrama hook</x:v>
      </x:c>
      <x:c r="N282" s="15" t="str">
        <x:v>무료부에서는 결핍과 예고, 유료부에서는 보상/진실/역전</x:v>
      </x:c>
      <x:c r="O282" s="15" t="str">
        <x:v>Medium: 광고 컷·후킹 이미지 보강용</x:v>
      </x:c>
      <x:c r="P282" s="15" t="str">
        <x:v>① 최약체 네크로맨서가 특성 약탈 재능으로 언데드 군단을 키우는 게임형 판타지. ② 복싱 챔프가 공주로 깨어나는 메타 로맨스 판타지.</x:v>
      </x:c>
      <x:c r="Q282" s="15" t="str">
        <x:v>보강자료 기반</x:v>
      </x:c>
      <x:c r="R282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2" s="15" t="str">
        <x:v>B / Useful verified</x:v>
      </x:c>
      <x:c r="T282" s="18" t="n">
        <x:v>81</x:v>
      </x:c>
      <x:c r="U282" s="15" t="str">
        <x:v>B_Strong</x:v>
      </x:c>
      <x:c r="V282" s="15" t="str">
        <x:v>ADD_AND_OPTIONALLY_REPLACE_WEAK_SLOT</x:v>
      </x:c>
      <x:c r="W282" s="15" t="str">
        <x:v>Delta Force Queen Returns (rank 5, High)</x:v>
      </x:c>
      <x:c r="X282" s="15" t="str">
        <x:v>동월 약한 슬롯 대체 가능. 다만 보강자료도 공식 월간 차트가 아니므로 최종 행에서는 추가형으로 보존.</x:v>
      </x:c>
      <x:c r="Y282" s="15" t="str">
        <x:v>https://m.mydramawave.com/share/episode/V68OHym7Su?from=share&amp;language=en&amp;share_user_id=33300623871
https://ai.mydramawave.com/</x:v>
      </x:c>
      <x:c r="Z282" s="15" t="str">
        <x:v>기존 슬롯 강제 교체 전, 공식 페이지/광고 라이브러리/조회수 재확인.</x:v>
      </x:c>
    </x:row>
    <x:row r="283">
      <x:c r="A283" s="15" t="str">
        <x:v>L0282</x:v>
      </x:c>
      <x:c r="B283" s="15" t="str">
        <x:v>2026-03</x:v>
      </x:c>
      <x:c r="C283" s="15" t="str">
        <x:v>DramaWave</x:v>
      </x:c>
      <x:c r="D283" s="15" t="str">
        <x:v>Supplement_DOCX</x:v>
      </x:c>
      <x:c r="E283" s="15" t="str">
        <x:v>S</x:v>
      </x:c>
      <x:c r="F283" s="15" t="str">
        <x:v>Not in base same month</x:v>
      </x:c>
      <x:c r="G283" s="15" t="str">
        <x:v>Daddy, Can You Hear Me Cry?</x:v>
      </x:c>
      <x:c r="H283" s="15" t="str">
        <x:v>Daddy, Can You Hear Me Cry?</x:v>
      </x:c>
      <x:c r="I283" s="15" t="str">
        <x:v>Supplement; AIGC flag parsed from title/logline</x:v>
      </x:c>
      <x:c r="J283" s="15" t="str">
        <x:v>Not flagged</x:v>
      </x:c>
      <x:c r="K283" s="15" t="str">
        <x:v>Family regret / mixed</x:v>
      </x:c>
      <x:c r="L283" s="15" t="str">
        <x:v>family separation, child swap, regret</x:v>
      </x:c>
      <x:c r="M283" s="15" t="str">
        <x:v>Revenge/regret payoff + Child/family reunion</x:v>
      </x:c>
      <x:c r="N283" s="15" t="str">
        <x:v>굴욕/배신 후 첫 반격을 예고하고 본격 응징은 지연</x:v>
      </x:c>
      <x:c r="O283" s="15" t="str">
        <x:v>Medium: 아이/가족 감정은 직관화하되 섬세한 연기는 과신 금지</x:v>
      </x:c>
      <x:c r="P283" s="15" t="str">
        <x:v>① 억울한 수감·바꿔치기 딸 찾기 가족극. ② 신장 기증과 오해로 가족이 갈라지는 비극 멜로. 태그: family separation, child swap, regret.</x:v>
      </x:c>
      <x:c r="Q283" s="15" t="str">
        <x:v>보강자료 기반</x:v>
      </x:c>
      <x:c r="R283" s="15" t="str">
        <x:v>공식 유튜브에서 Daddy, Can You Hear Me Cry?는 580K views, Mommy, Why Does Daddy Hate Me는 380K views급 노출이 확인된다.</x:v>
      </x:c>
      <x:c r="S283" s="15" t="str">
        <x:v>A / Strong verified</x:v>
      </x:c>
      <x:c r="T283" s="18" t="n">
        <x:v>100</x:v>
      </x:c>
      <x:c r="U283" s="15" t="str">
        <x:v>A_Core</x:v>
      </x:c>
      <x:c r="V283" s="15" t="str">
        <x:v>ADD_AND_OPTIONALLY_REPLACE_WEAK_SLOT</x:v>
      </x:c>
      <x:c r="W283" s="15" t="str">
        <x:v>When the Moon Hides Crown (rank 5, High)</x:v>
      </x:c>
      <x:c r="X283" s="15" t="str">
        <x:v>동월 약한 슬롯 대체 가능. 다만 보강자료도 공식 월간 차트가 아니므로 최종 행에서는 추가형으로 보존.</x:v>
      </x:c>
      <x:c r="Y283" s="15" t="str">
        <x:v>https://m.mydramawave.com/series/zL0Gm3Qwvt/HoBoGlcdux
https://www.youtube.com/watch?v=JCo8lNQ1eBk</x:v>
      </x:c>
      <x:c r="Z283" s="15" t="str">
        <x:v>기존 슬롯 강제 교체 전, 공식 페이지/광고 라이브러리/조회수 재확인.</x:v>
      </x:c>
    </x:row>
    <x:row r="284">
      <x:c r="A284" s="15" t="str">
        <x:v>L0283</x:v>
      </x:c>
      <x:c r="B284" s="15" t="str">
        <x:v>2026-03</x:v>
      </x:c>
      <x:c r="C284" s="15" t="str">
        <x:v>DramaWave</x:v>
      </x:c>
      <x:c r="D284" s="15" t="str">
        <x:v>Supplement_DOCX</x:v>
      </x:c>
      <x:c r="E284" s="15" t="str">
        <x:v>S</x:v>
      </x:c>
      <x:c r="F284" s="15" t="str">
        <x:v>Not in base same month</x:v>
      </x:c>
      <x:c r="G284" s="15" t="str">
        <x:v>Mommy, Why Does Daddy Hate Me</x:v>
      </x:c>
      <x:c r="H284" s="15" t="str">
        <x:v>Mommy, Why Does Daddy Hate Me</x:v>
      </x:c>
      <x:c r="I284" s="15" t="str">
        <x:v>Supplement; AIGC flag parsed from title/logline</x:v>
      </x:c>
      <x:c r="J284" s="15" t="str">
        <x:v>Not flagged</x:v>
      </x:c>
      <x:c r="K284" s="15" t="str">
        <x:v>Family regret / mixed</x:v>
      </x:c>
      <x:c r="L284" s="15" t="str">
        <x:v>family separation, child swap, regret</x:v>
      </x:c>
      <x:c r="M284" s="15" t="str">
        <x:v>Revenge/regret payoff + Child/family reunion</x:v>
      </x:c>
      <x:c r="N284" s="15" t="str">
        <x:v>굴욕/배신 후 첫 반격을 예고하고 본격 응징은 지연</x:v>
      </x:c>
      <x:c r="O284" s="15" t="str">
        <x:v>Medium: 아이/가족 감정은 직관화하되 섬세한 연기는 과신 금지</x:v>
      </x:c>
      <x:c r="P284" s="15" t="str">
        <x:v>① 억울한 수감·바꿔치기 딸 찾기 가족극. ② 신장 기증과 오해로 가족이 갈라지는 비극 멜로. 태그: family separation, child swap, regret.</x:v>
      </x:c>
      <x:c r="Q284" s="15" t="str">
        <x:v>보강자료 기반</x:v>
      </x:c>
      <x:c r="R284" s="15" t="str">
        <x:v>공식 유튜브에서 Daddy, Can You Hear Me Cry?는 580K views, Mommy, Why Does Daddy Hate Me는 380K views급 노출이 확인된다.</x:v>
      </x:c>
      <x:c r="S284" s="15" t="str">
        <x:v>A / Strong verified</x:v>
      </x:c>
      <x:c r="T284" s="18" t="n">
        <x:v>100</x:v>
      </x:c>
      <x:c r="U284" s="15" t="str">
        <x:v>A_Core</x:v>
      </x:c>
      <x:c r="V284" s="15" t="str">
        <x:v>ADD_AND_OPTIONALLY_REPLACE_WEAK_SLOT</x:v>
      </x:c>
      <x:c r="W284" s="15" t="str">
        <x:v>When the Moon Hides Crown (rank 5, High)</x:v>
      </x:c>
      <x:c r="X284" s="15" t="str">
        <x:v>동월 약한 슬롯 대체 가능. 다만 보강자료도 공식 월간 차트가 아니므로 최종 행에서는 추가형으로 보존.</x:v>
      </x:c>
      <x:c r="Y284" s="15" t="str">
        <x:v>https://m.mydramawave.com/series/zL0Gm3Qwvt/HoBoGlcdux
https://www.youtube.com/watch?v=JCo8lNQ1eBk</x:v>
      </x:c>
      <x:c r="Z284" s="15" t="str">
        <x:v>기존 슬롯 강제 교체 전, 공식 페이지/광고 라이브러리/조회수 재확인.</x:v>
      </x:c>
    </x:row>
    <x:row r="285">
      <x:c r="A285" s="15" t="str">
        <x:v>L0284</x:v>
      </x:c>
      <x:c r="B285" s="15" t="str">
        <x:v>2026-04</x:v>
      </x:c>
      <x:c r="C285" s="15" t="str">
        <x:v>DramaWave</x:v>
      </x:c>
      <x:c r="D285" s="15" t="str">
        <x:v>Supplement_DOCX</x:v>
      </x:c>
      <x:c r="E285" s="15" t="str">
        <x:v>S</x:v>
      </x:c>
      <x:c r="F285" s="15" t="str">
        <x:v>Not in base same month</x:v>
      </x:c>
      <x:c r="G285" s="15" t="str">
        <x:v>Baby Daddy at the Front Desk</x:v>
      </x:c>
      <x:c r="H285" s="15" t="str">
        <x:v>Baby Daddy at the Front Desk</x:v>
      </x:c>
      <x:c r="I285" s="15" t="str">
        <x:v>Supplement; AIGC flag parsed from title/logline</x:v>
      </x:c>
      <x:c r="J285" s="15" t="str">
        <x:v>Not flagged</x:v>
      </x:c>
      <x:c r="K285" s="15" t="str">
        <x:v>Female / Family-romance</x:v>
      </x:c>
      <x:c r="L285" s="15" t="str">
        <x:v>Supplemental / see logline</x:v>
      </x:c>
      <x:c r="M285" s="15" t="str">
        <x:v>High-status partner/authority + Child/family reunion</x:v>
      </x:c>
      <x:c r="N285" s="15" t="str">
        <x:v>혈연/아이 진실을 반쯤 드러내고 대면·인정은 지연</x:v>
      </x:c>
      <x:c r="O285" s="15" t="str">
        <x:v>Medium-High: 압도적 외모·의상·공간 미감으로 실사형 보상 강화</x:v>
      </x:c>
      <x:c r="P285" s="15" t="str">
        <x:v>① 가난한 아이비가 CEO 브라이언과 하룻밤 뒤 쌍둥이를 낳고, 7년 후 시어머니가 진실을 알아채는 작품. ② 게임형 언데드 성장물.</x:v>
      </x:c>
      <x:c r="Q285" s="15" t="str">
        <x:v>보강자료 기반</x:v>
      </x:c>
      <x:c r="R285" s="15" t="str">
        <x:v>Baby Daddy at the Front Desk 공식 유튜브는 32K~33K views급이 확인된다. AI 직접 증거는 없지만, DramaWave의 AI 프로그램과 가장 잘 맞는 포맷이다.</x:v>
      </x:c>
      <x:c r="S285" s="15" t="str">
        <x:v>A / Strong verified</x:v>
      </x:c>
      <x:c r="T285" s="18" t="n">
        <x:v>89</x:v>
      </x:c>
      <x:c r="U285" s="15" t="str">
        <x:v>A_Core</x:v>
      </x:c>
      <x:c r="V285" s="15" t="str">
        <x:v>ADD_AND_OPTIONALLY_REPLACE_WEAK_SLOT</x:v>
      </x:c>
      <x:c r="W285" s="15" t="str">
        <x:v>The Mafia Boss's Regret (rank 4, Medium)</x:v>
      </x:c>
      <x:c r="X285" s="15" t="str">
        <x:v>동월 약한 슬롯 대체 가능. 다만 보강자료도 공식 월간 차트가 아니므로 최종 행에서는 추가형으로 보존.</x:v>
      </x:c>
      <x:c r="Y285" s="15" t="str">
        <x:v>https://www.youtube.com/watch?v=FZhfgMsmNS8
https://www.youtube.com/watch?v=988xiYTL-cI</x:v>
      </x:c>
      <x:c r="Z285" s="15" t="str">
        <x:v>기존 슬롯 강제 교체 전, 공식 페이지/광고 라이브러리/조회수 재확인.</x:v>
      </x:c>
    </x:row>
    <x:row r="286">
      <x:c r="A286" s="15" t="str">
        <x:v>L0285</x:v>
      </x:c>
      <x:c r="B286" s="15" t="str">
        <x:v>2026-04</x:v>
      </x:c>
      <x:c r="C286" s="15" t="str">
        <x:v>DramaWave</x:v>
      </x:c>
      <x:c r="D286" s="15" t="str">
        <x:v>Supplement_DOCX</x:v>
      </x:c>
      <x:c r="E286" s="15" t="str">
        <x:v>S</x:v>
      </x:c>
      <x:c r="F286" s="15" t="str">
        <x:v>Not in base same month</x:v>
      </x:c>
      <x:c r="G286" s="15" t="str">
        <x:v>Attribute Seizer: Undead Overlord</x:v>
      </x:c>
      <x:c r="H286" s="15" t="str">
        <x:v>Attribute Seizer: Undead Overlord</x:v>
      </x:c>
      <x:c r="I286" s="15" t="str">
        <x:v>Supplement; AIGC flag parsed from title/logline</x:v>
      </x:c>
      <x:c r="J286" s="15" t="str">
        <x:v>AIGC-friendly genre</x:v>
      </x:c>
      <x:c r="K286" s="15" t="str">
        <x:v>Male / Power fantasy</x:v>
      </x:c>
      <x:c r="L286" s="15" t="str">
        <x:v>Supplemental / see logline</x:v>
      </x:c>
      <x:c r="M286" s="15" t="str">
        <x:v>High-status partner/authority + Progression/spectacle</x:v>
      </x:c>
      <x:c r="N286" s="15" t="str">
        <x:v>첫 각성·첫 스킬만 보여주고 상위 보스/진짜 권위는 유료부로 이월</x:v>
      </x:c>
      <x:c r="O286" s="15" t="str">
        <x:v>High: VFX·세계관·시스템 UI·비현실 스케일을 직접 보상화</x:v>
      </x:c>
      <x:c r="P286" s="15" t="str">
        <x:v>① 가난한 아이비가 CEO 브라이언과 하룻밤 뒤 쌍둥이를 낳고, 7년 후 시어머니가 진실을 알아채는 작품. ② 게임형 언데드 성장물.</x:v>
      </x:c>
      <x:c r="Q286" s="15" t="str">
        <x:v>보강자료 기반</x:v>
      </x:c>
      <x:c r="R286" s="15" t="str">
        <x:v>Baby Daddy at the Front Desk 공식 유튜브는 32K~33K views급이 확인된다. AI 직접 증거는 없지만, DramaWave의 AI 프로그램과 가장 잘 맞는 포맷이다.</x:v>
      </x:c>
      <x:c r="S286" s="15" t="str">
        <x:v>A / Strong verified</x:v>
      </x:c>
      <x:c r="T286" s="18" t="n">
        <x:v>89</x:v>
      </x:c>
      <x:c r="U286" s="15" t="str">
        <x:v>A_Core</x:v>
      </x:c>
      <x:c r="V286" s="15" t="str">
        <x:v>ADD_AND_OPTIONALLY_REPLACE_WEAK_SLOT</x:v>
      </x:c>
      <x:c r="W286" s="15" t="str">
        <x:v>The Mafia Boss's Regret (rank 4, Medium)</x:v>
      </x:c>
      <x:c r="X286" s="15" t="str">
        <x:v>동월 약한 슬롯 대체 가능. 다만 보강자료도 공식 월간 차트가 아니므로 최종 행에서는 추가형으로 보존.</x:v>
      </x:c>
      <x:c r="Y286" s="15" t="str">
        <x:v>https://www.youtube.com/watch?v=FZhfgMsmNS8
https://www.youtube.com/watch?v=988xiYTL-cI</x:v>
      </x:c>
      <x:c r="Z286" s="15" t="str">
        <x:v>기존 슬롯 강제 교체 전, 공식 페이지/광고 라이브러리/조회수 재확인.</x:v>
      </x:c>
    </x:row>
    <x:row r="287">
      <x:c r="A287" s="15" t="str">
        <x:v>L0286</x:v>
      </x:c>
      <x:c r="B287" s="15" t="str">
        <x:v>2026-05</x:v>
      </x:c>
      <x:c r="C287" s="15" t="str">
        <x:v>DramaWave</x:v>
      </x:c>
      <x:c r="D287" s="15" t="str">
        <x:v>Supplement_DOCX</x:v>
      </x:c>
      <x:c r="E287" s="15" t="str">
        <x:v>S</x:v>
      </x:c>
      <x:c r="F287" s="15" t="str">
        <x:v>Not in base same month</x:v>
      </x:c>
      <x:c r="G287" s="15" t="str">
        <x:v>Wrong Sperm, Right Love II</x:v>
      </x:c>
      <x:c r="H287" s="15" t="str">
        <x:v>Wrong Sperm, Right Love II</x:v>
      </x:c>
      <x:c r="I287" s="15" t="str">
        <x:v>Supplement; AIGC flag parsed from title/logline</x:v>
      </x:c>
      <x:c r="J287" s="15" t="str">
        <x:v>Not flagged</x:v>
      </x:c>
      <x:c r="K287" s="15" t="str">
        <x:v>Female / Family-romance</x:v>
      </x:c>
      <x:c r="L287" s="15" t="str">
        <x:v>Supplemental / see logline</x:v>
      </x:c>
      <x:c r="M287" s="15" t="str">
        <x:v>Core melodrama hook</x:v>
      </x:c>
      <x:c r="N287" s="15" t="str">
        <x:v>무료부에서는 결핍과 예고, 유료부에서는 보상/진실/역전</x:v>
      </x:c>
      <x:c r="O287" s="15" t="str">
        <x:v>Medium: 아이/가족 감정은 직관화하되 섬세한 연기는 과신 금지</x:v>
      </x:c>
      <x:c r="P287" s="15" t="str">
        <x:v>① 정자 바꿔치기로 적대 마피아 보스의 아이를 갖게 된 에블린의 후속 하이컨셉 멜로. ② 공주 빙의 세계관물.</x:v>
      </x:c>
      <x:c r="Q287" s="15" t="str">
        <x:v>보강자료 기반</x:v>
      </x:c>
      <x:c r="R287" s="15" t="str">
        <x:v>5월 말까지 AI 콘테스트가 진행 중이라, 5월 편성은 “실사 감정멜로 1편 + 애니/세계관형 1편” 조합이 가장 실험 효율이 높다.</x:v>
      </x:c>
      <x:c r="S287" s="15" t="str">
        <x:v>B / Useful verified</x:v>
      </x:c>
      <x:c r="T287" s="18" t="n">
        <x:v>73</x:v>
      </x:c>
      <x:c r="U287" s="15" t="str">
        <x:v>B_Strong</x:v>
      </x:c>
      <x:c r="V287" s="15" t="str">
        <x:v>ADD_AS_PARALLEL_REFERENCE</x:v>
      </x:c>
      <x:c r="W287" s="15" t="str"/>
      <x:c r="X287" s="15" t="str">
        <x:v>현행 시트에 없는 보강자료 후보. 완전 삭제형 교체보다 라이브러리 보강 행으로 추가하는 편이 안전.</x:v>
      </x:c>
      <x:c r="Y287" s="15" t="str">
        <x:v>https://www.youtube.com/watch?v=mEbpWifrg2w
https://ai.mydramawave.com/p/activity/?language=en</x:v>
      </x:c>
      <x:c r="Z287" s="15" t="str">
        <x:v>기존 슬롯 강제 교체 전, 공식 페이지/광고 라이브러리/조회수 재확인.</x:v>
      </x:c>
    </x:row>
    <x:row r="288">
      <x:c r="A288" s="15" t="str">
        <x:v>L0287</x:v>
      </x:c>
      <x:c r="B288" s="15" t="str">
        <x:v>2026-05</x:v>
      </x:c>
      <x:c r="C288" s="15" t="str">
        <x:v>DramaWave</x:v>
      </x:c>
      <x:c r="D288" s="15" t="str">
        <x:v>Supplement_DOCX</x:v>
      </x:c>
      <x:c r="E288" s="15" t="str">
        <x:v>S</x:v>
      </x:c>
      <x:c r="F288" s="15" t="str">
        <x:v>Not in base same month</x:v>
      </x:c>
      <x:c r="G288" s="15" t="str">
        <x:v>The Mighty Lady Fixes the Manor</x:v>
      </x:c>
      <x:c r="H288" s="15" t="str">
        <x:v>The Mighty Lady Fixes the Manor</x:v>
      </x:c>
      <x:c r="I288" s="15" t="str">
        <x:v>Supplement; AIGC flag parsed from title/logline</x:v>
      </x:c>
      <x:c r="J288" s="15" t="str">
        <x:v>Not flagged</x:v>
      </x:c>
      <x:c r="K288" s="15" t="str">
        <x:v>Family regret / mixed</x:v>
      </x:c>
      <x:c r="L288" s="15" t="str">
        <x:v>Supplemental / see logline</x:v>
      </x:c>
      <x:c r="M288" s="15" t="str">
        <x:v>Core melodrama hook</x:v>
      </x:c>
      <x:c r="N288" s="15" t="str">
        <x:v>무료부에서는 결핍과 예고, 유료부에서는 보상/진실/역전</x:v>
      </x:c>
      <x:c r="O288" s="15" t="str">
        <x:v>Medium: 아이/가족 감정은 직관화하되 섬세한 연기는 과신 금지</x:v>
      </x:c>
      <x:c r="P288" s="15" t="str">
        <x:v>① 정자 바꿔치기로 적대 마피아 보스의 아이를 갖게 된 에블린의 후속 하이컨셉 멜로. ② 공주 빙의 세계관물.</x:v>
      </x:c>
      <x:c r="Q288" s="15" t="str">
        <x:v>보강자료 기반</x:v>
      </x:c>
      <x:c r="R288" s="15" t="str">
        <x:v>5월 말까지 AI 콘테스트가 진행 중이라, 5월 편성은 “실사 감정멜로 1편 + 애니/세계관형 1편” 조합이 가장 실험 효율이 높다.</x:v>
      </x:c>
      <x:c r="S288" s="15" t="str">
        <x:v>B / Useful verified</x:v>
      </x:c>
      <x:c r="T288" s="18" t="n">
        <x:v>73</x:v>
      </x:c>
      <x:c r="U288" s="15" t="str">
        <x:v>B_Strong</x:v>
      </x:c>
      <x:c r="V288" s="15" t="str">
        <x:v>ADD_AS_PARALLEL_REFERENCE</x:v>
      </x:c>
      <x:c r="W288" s="15" t="str"/>
      <x:c r="X288" s="15" t="str">
        <x:v>현행 시트에 없는 보강자료 후보. 완전 삭제형 교체보다 라이브러리 보강 행으로 추가하는 편이 안전.</x:v>
      </x:c>
      <x:c r="Y288" s="15" t="str">
        <x:v>https://www.youtube.com/watch?v=mEbpWifrg2w
https://ai.mydramawave.com/p/activity/?language=en</x:v>
      </x:c>
      <x:c r="Z288" s="15" t="str">
        <x:v>기존 슬롯 강제 교체 전, 공식 페이지/광고 라이브러리/조회수 재확인.</x:v>
      </x:c>
    </x:row>
    <x:row r="289" ht="55" customHeight="1">
      <x:c r="A289" s="12" t="str">
        <x:v>L0288</x:v>
      </x:c>
      <x:c r="B289" s="12" t="str">
        <x:v>2026-05</x:v>
      </x:c>
      <x:c r="C289" s="12" t="str">
        <x:v>NetShort</x:v>
      </x:c>
      <x:c r="D289" s="12" t="str">
        <x:v>2026-05-19_CORRECTED</x:v>
      </x:c>
      <x:c r="E289" s="12" t="str">
        <x:v>Trend</x:v>
      </x:c>
      <x:c r="F289" s="12" t="str">
        <x:v>5/19 corrected add</x:v>
      </x:c>
      <x:c r="G289" s="12" t="str">
        <x:v>The Wolfless Carpenter Rules the World</x:v>
      </x:c>
      <x:c r="H289" s="12" t="str">
        <x:v>The Wolfless Carpenter Rules the World</x:v>
      </x:c>
      <x:c r="I289" s="12" t="str">
        <x:v>Live-action/fantasy; AIGC not flagged</x:v>
      </x:c>
      <x:c r="J289" s="12" t="str">
        <x:v>Not flagged</x:v>
      </x:c>
      <x:c r="K289" s="12" t="str">
        <x:v>Male / Werewolf power fantasy</x:v>
      </x:c>
      <x:c r="L289" s="12" t="str">
        <x:v>Underdog Rise / Karma Payback / Hidden heir / Wolfless-to-king</x:v>
      </x:c>
      <x:c r="M289" s="12" t="str">
        <x:v>Hidden identity + rejected heir + superpower reveal</x:v>
      </x:c>
      <x:c r="N289" s="12" t="str">
        <x:v>가족/팩에게 버림받은 뒤 첫 능력 증거만 보여주고 왕귀는 유료부로 이월</x:v>
      </x:c>
      <x:c r="O289" s="12" t="str">
        <x:v>Medium: 판타지 권능/팩 전쟁 VFX 컷 보강 가능. 제작 AIGC로 분류하지 않음.</x:v>
      </x:c>
      <x:c r="P289" s="12" t="str">
        <x:v>늑대 없는 목수로 무시받던 추방된 적통자가 가족과 권력의 배신을 뚫고 세계를 지배하는 왕귀형 판타지.</x:v>
      </x:c>
      <x:c r="Q289" s="12" t="str">
        <x:v>Official full/episode page and blog surfaced May 2026; user callout trend title.</x:v>
      </x:c>
      <x:c r="R289" s="12" t="str">
        <x:v>NetShort fantasy/current recommendation flow; all-plots/current pages show adjacent fantasy titles.</x:v>
      </x:c>
      <x:c r="S289" s="12" t="str">
        <x:v>A / Strong verified</x:v>
      </x:c>
      <x:c r="T289" s="12" t="n">
        <x:v>96</x:v>
      </x:c>
      <x:c r="U289" s="12" t="str">
        <x:v>A_Core</x:v>
      </x:c>
      <x:c r="V289" s="12" t="str">
        <x:v>ADD_NETSHORT_TREND</x:v>
      </x:c>
      <x:c r="W289" s="12"/>
      <x:c r="X289" s="12" t="str">
        <x:v>사용자 지적 반영. 존재 확인. AIGC 트래커에는 넣지 않음.</x:v>
      </x:c>
      <x:c r="Y289" s="12" t="str">
        <x:v>https://netshort.com/full-episodes/the-wolfless-carpenter-rules-the-world-2050068409881722882
https://netshort.com/blog/the-wolfless-carpenter-rules-the-world-watch-online-the-most-satisfying-hidde-2050131933584687105
https://netshort.com/drama/all-plots</x:v>
      </x:c>
      <x:c r="Z289" s="12" t="str">
        <x:v>앱 내 Top-Rated/광고 소재량으로 월별 랭킹 승격 여부 확인.</x:v>
      </x:c>
    </x:row>
    <x:row r="290" ht="55" customHeight="1">
      <x:c r="A290" s="12" t="str">
        <x:v>L0289</x:v>
      </x:c>
      <x:c r="B290" s="12" t="str">
        <x:v>2026-03</x:v>
      </x:c>
      <x:c r="C290" s="12" t="str">
        <x:v>NetShort</x:v>
      </x:c>
      <x:c r="D290" s="12" t="str">
        <x:v>2026-05-19_CORRECTED</x:v>
      </x:c>
      <x:c r="E290" s="12" t="str">
        <x:v>Trend</x:v>
      </x:c>
      <x:c r="F290" s="12" t="str">
        <x:v>5/19 corrected add</x:v>
      </x:c>
      <x:c r="G290" s="12" t="str">
        <x:v>One Move God Mode</x:v>
      </x:c>
      <x:c r="H290" s="12" t="str">
        <x:v>One Move God Mode</x:v>
      </x:c>
      <x:c r="I290" s="12" t="str">
        <x:v>Direct external evidence says AI/AI-like production; NetShort official title verified</x:v>
      </x:c>
      <x:c r="J290" s="12" t="str">
        <x:v>Direct/Explicit AI</x:v>
      </x:c>
      <x:c r="K290" s="12" t="str">
        <x:v>Male / AI western fantasy</x:v>
      </x:c>
      <x:c r="L290" s="12" t="str">
        <x:v>Urban Fantasy / Underdog Rise / Greek myth / God-blood</x:v>
      </x:c>
      <x:c r="M290" s="12" t="str">
        <x:v>Trash-to-god + divine weapon reveal + mythic scale</x:v>
      </x:c>
      <x:c r="N290" s="12" t="str">
        <x:v>피치포크가 삼지창으로 전환되는 첫 각성까지만 무료부에 고정하고 올림포스 진입은 유료부로 이월</x:v>
      </x:c>
      <x:c r="O290" s="12" t="str">
        <x:v>High: AI/VFX 스케일·신화 몬스터·전투 연출을 핵심 상품으로 사용.</x:v>
      </x:c>
      <x:c r="P290" s="12" t="str">
        <x:v>포세이돈의 아들이 농부로 살다 조롱 속에서 숨겨진 삼지창과 신성을 각성해 전설로 올라서는 서양 판타지.</x:v>
      </x:c>
      <x:c r="Q290" s="12" t="str">
        <x:v>TopMarketing/36Kr/DataEye 계열이 NetShort AI 대표작·Q1 소재량/랭킹 사례로 언급.</x:v>
      </x:c>
      <x:c r="R290" s="12" t="str">
        <x:v>2026 Q1 AI drama 대표 케이스; NetShort 공식 full/episode page 확인.</x:v>
      </x:c>
      <x:c r="S290" s="12" t="str">
        <x:v>A / Strong verified</x:v>
      </x:c>
      <x:c r="T290" s="12" t="n">
        <x:v>100</x:v>
      </x:c>
      <x:c r="U290" s="12" t="str">
        <x:v>A_Core</x:v>
      </x:c>
      <x:c r="V290" s="12" t="str">
        <x:v>MERGE_AND_REINFORCE_EXISTING</x:v>
      </x:c>
      <x:c r="W290" s="12" t="str">
        <x:v>Existing L0030/L0263</x:v>
      </x:c>
      <x:c r="X290" s="12" t="str">
        <x:v>기존 행 보강. AIGC 확정군으로 유지하되 출처는 공식+산업 기사로 제한.</x:v>
      </x:c>
      <x:c r="Y290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290" s="12" t="str">
        <x:v>DataEye 소재량·언어버전별 집행량 세부 캡처 보강.</x:v>
      </x:c>
    </x:row>
    <x:row r="291" ht="55" customHeight="1">
      <x:c r="A291" s="12" t="str">
        <x:v>L0290</x:v>
      </x:c>
      <x:c r="B291" s="12" t="str">
        <x:v>2026-04</x:v>
      </x:c>
      <x:c r="C291" s="12" t="str">
        <x:v>NetShort</x:v>
      </x:c>
      <x:c r="D291" s="12" t="str">
        <x:v>2026-05-19_CORRECTED</x:v>
      </x:c>
      <x:c r="E291" s="12" t="str">
        <x:v>Trend</x:v>
      </x:c>
      <x:c r="F291" s="12" t="str">
        <x:v>5/19 corrected add</x:v>
      </x:c>
      <x:c r="G291" s="12" t="str">
        <x:v>The Lion's Captive</x:v>
      </x:c>
      <x:c r="H291" s="12" t="str">
        <x:v>The Lion's Captive</x:v>
      </x:c>
      <x:c r="I291" s="12" t="str">
        <x:v>Live-action/fantasy romance; AIGC not flagged</x:v>
      </x:c>
      <x:c r="J291" s="12" t="str">
        <x:v>Not flagged</x:v>
      </x:c>
      <x:c r="K291" s="12" t="str">
        <x:v>Female / Dark fantasy romance</x:v>
      </x:c>
      <x:c r="L291" s="12" t="str">
        <x:v>Fantasy Romance / Flash Marriage / Captive bride / Beast empire</x:v>
      </x:c>
      <x:c r="M291" s="12" t="str">
        <x:v>Forced marriage + pregnancy + beast-sacrifice danger + forbidden protector</x:v>
      </x:c>
      <x:c r="N291" s="12" t="str">
        <x:v>비혼/비처녀 처벌 세계관의 위험을 무료부에 압축하고 왕자와의 보호·집착 관계 전환을 유료부로 이월</x:v>
      </x:c>
      <x:c r="O291" s="12" t="str">
        <x:v>Medium: 야수 제국·투기장·본드 변신 VFX 보강 가능. 제작 AIGC로 분류하지 않음.</x:v>
      </x:c>
      <x:c r="P291" s="12" t="str">
        <x:v>하룻밤 임신 후 왕자와 강제 결혼한 여성이 야수에게 희생되는 제국 규칙 안에서 생존과 사랑을 건다.</x:v>
      </x:c>
      <x:c r="Q291" s="12" t="str">
        <x:v>Official NetShort full/episode page and blog 확인.</x:v>
      </x:c>
      <x:c r="R291" s="12" t="str">
        <x:v>NetShort homepage/current recommendation snippet에서 Fantasy Romance/Flash Marriage로 노출.</x:v>
      </x:c>
      <x:c r="S291" s="12" t="str">
        <x:v>A / Strong verified</x:v>
      </x:c>
      <x:c r="T291" s="12" t="n">
        <x:v>95</x:v>
      </x:c>
      <x:c r="U291" s="12" t="str">
        <x:v>A_Core</x:v>
      </x:c>
      <x:c r="V291" s="12" t="str">
        <x:v>ADD_NETSHORT_TREND</x:v>
      </x:c>
      <x:c r="W291" s="12"/>
      <x:c r="X291" s="12" t="str">
        <x:v>사용자 지적 반영. 랭킹/추천 흐름에 맞는 판타지 로맨스 축.</x:v>
      </x:c>
      <x:c r="Y291" s="12" t="str">
        <x:v>https://netshort.com/full-episodes/the-lions-captive-2044271853970653185
https://netshort.com/blog/the-lions-captive-watch-online-a-dangerous-love-wrapped-in-power-and-desire-2044666487486021634
https://netshort.com/drama/all-plots</x:v>
      </x:c>
      <x:c r="Z291" s="12" t="str">
        <x:v>여성향 판타지 로맨스 소재량과 ReelShort werewolf 계열과의 교차 비교.</x:v>
      </x:c>
    </x:row>
    <x:row r="292" ht="55" customHeight="1">
      <x:c r="A292" s="12" t="str">
        <x:v>L0291</x:v>
      </x:c>
      <x:c r="B292" s="12" t="str">
        <x:v>2026-05</x:v>
      </x:c>
      <x:c r="C292" s="12" t="str">
        <x:v>NetShort</x:v>
      </x:c>
      <x:c r="D292" s="12" t="str">
        <x:v>2026-05-19_CORRECTED</x:v>
      </x:c>
      <x:c r="E292" s="12" t="str">
        <x:v>Trend</x:v>
      </x:c>
      <x:c r="F292" s="12" t="str">
        <x:v>5/19 corrected add</x:v>
      </x:c>
      <x:c r="G292" s="12" t="str">
        <x:v>The Daughter Who Commands Dragon</x:v>
      </x:c>
      <x:c r="H292" s="12" t="str">
        <x:v>The Daughter Who Commands Dragon</x:v>
      </x:c>
      <x:c r="I292" s="12" t="str">
        <x:v>Fantasy/action; animation/VFX candidate but production AIGC unconfirmed</x:v>
      </x:c>
      <x:c r="J292" s="12" t="str">
        <x:v>Animation/VFX candidate; production AIGC unconfirmed</x:v>
      </x:c>
      <x:c r="K292" s="12" t="str">
        <x:v>Female / Fantasy empowerment</x:v>
      </x:c>
      <x:c r="L292" s="12" t="str">
        <x:v>Female Empowerment / Underdog Rise / Dragon magic / Patriarchal revenge</x:v>
      </x:c>
      <x:c r="M292" s="12" t="str">
        <x:v>Denied woman + forbidden magic + dragon command + patriarchal overthrow</x:v>
      </x:c>
      <x:c r="N292" s="12" t="str">
        <x:v>여성이라 금지된 마법 설정과 첫 용의 반응을 무료부에 배치하고 가문 회수/전투는 유료부로 이월</x:v>
      </x:c>
      <x:c r="O292" s="12" t="str">
        <x:v>High candidate: 드래곤·마법·대규모 전투는 AIGC/애니 제작 효율이 높은 소재. 단 제작 확정은 미확인.</x:v>
      </x:c>
      <x:c r="P292" s="12" t="str">
        <x:v>마법을 부정당한 귀족 여성이 금단의 드래곤 힘을 깨워 잔혹한 가부장 세계에 맞선다.</x:v>
      </x:c>
      <x:c r="Q292" s="12" t="str">
        <x:v>Official hotseries/full/episode page; May 2026 blog/recommendation signals.</x:v>
      </x:c>
      <x:c r="R292" s="12" t="str">
        <x:v>NetShort fantasy/current recommendation and episode review recency 확인.</x:v>
      </x:c>
      <x:c r="S292" s="12" t="str">
        <x:v>A / Strong verified</x:v>
      </x:c>
      <x:c r="T292" s="12" t="n">
        <x:v>98</x:v>
      </x:c>
      <x:c r="U292" s="12" t="str">
        <x:v>A_Core</x:v>
      </x:c>
      <x:c r="V292" s="12" t="str">
        <x:v>ADD_NETSHORT_TREND_AND_AIGC_CANDIDATE</x:v>
      </x:c>
      <x:c r="W292" s="12"/>
      <x:c r="X292" s="12" t="str">
        <x:v>AIGC 확정이 아니라 ‘VFX/애니 후보’로만 분류.</x:v>
      </x:c>
      <x:c r="Y292" s="12" t="str">
        <x:v>https://netshort.com/episode/the-daughter-who-commands-dragon-2052226077232726017
https://netshort.com/hotseries/the-daughter-who-commands-dragon-2052226077232726017
https://netshort.com/drama/all-plots</x:v>
      </x:c>
      <x:c r="Z292" s="12" t="str">
        <x:v>실사/애니 여부 캡처 확인 후 AIGC 트래커 등급 재조정.</x:v>
      </x:c>
    </x:row>
    <x:row r="293" ht="55" customHeight="1">
      <x:c r="A293" s="12" t="str">
        <x:v>L0292</x:v>
      </x:c>
      <x:c r="B293" s="12" t="str">
        <x:v>2026-05</x:v>
      </x:c>
      <x:c r="C293" s="12" t="str">
        <x:v>NetShort</x:v>
      </x:c>
      <x:c r="D293" s="12" t="str">
        <x:v>2026-05-19_CORRECTED</x:v>
      </x:c>
      <x:c r="E293" s="12" t="str">
        <x:v>Trend</x:v>
      </x:c>
      <x:c r="F293" s="12" t="str">
        <x:v>5/19 corrected add</x:v>
      </x:c>
      <x:c r="G293" s="12" t="str">
        <x:v>Your Late Repentance Means Nothing</x:v>
      </x:c>
      <x:c r="H293" s="12" t="str">
        <x:v>Your Late Repentance Means Nothing</x:v>
      </x:c>
      <x:c r="I293" s="12" t="str">
        <x:v>Live-action melodrama/revenge; AIGC not flagged</x:v>
      </x:c>
      <x:c r="J293" s="12" t="str">
        <x:v>Not flagged</x:v>
      </x:c>
      <x:c r="K293" s="12" t="str">
        <x:v>Female / Revenge melodrama</x:v>
      </x:c>
      <x:c r="L293" s="12" t="str">
        <x:v>Karma Payback / All-Too-Late / Stolen credit / Irreversible regret</x:v>
      </x:c>
      <x:c r="M293" s="12" t="str">
        <x:v>Stolen savior credit + seven-year devotion + final self-choice</x:v>
      </x:c>
      <x:c r="N293" s="12" t="str">
        <x:v>남주가 잘못된 여자를 선택한 장면과 여주의 단절 선언을 무료부에 배치하고 진실 공개·후회를 유료부로 이월</x:v>
      </x:c>
      <x:c r="O293" s="12" t="str">
        <x:v>Low-Medium: 감정 멜로 컷 중심. 제작 AIGC 후보 아님.</x:v>
      </x:c>
      <x:c r="P293" s="12" t="str">
        <x:v>화재에서 남자를 구했지만 공을 빼앗긴 여성이 7년 후에도 계속되는 착취를 끊고 늦은 후회를 거부한다.</x:v>
      </x:c>
      <x:c r="Q293" s="12" t="str">
        <x:v>Official full/episode page and NetShort blog posted May 2026.</x:v>
      </x:c>
      <x:c r="R293" s="12" t="str">
        <x:v>All-too-late/revenge NetShort current flow와 사용자 callout 일치.</x:v>
      </x:c>
      <x:c r="S293" s="12" t="str">
        <x:v>A / Strong verified</x:v>
      </x:c>
      <x:c r="T293" s="12" t="n">
        <x:v>96</x:v>
      </x:c>
      <x:c r="U293" s="12" t="str">
        <x:v>A_Core</x:v>
      </x:c>
      <x:c r="V293" s="12" t="str">
        <x:v>ADD_NETSHORT_TREND</x:v>
      </x:c>
      <x:c r="W293" s="12"/>
      <x:c r="X293" s="12" t="str">
        <x:v>사용자 지적 반영. ‘후회해도 늦었다’ 계열 핵심 축.</x:v>
      </x:c>
      <x:c r="Y293" s="12" t="str">
        <x:v>https://netshort.com/full-episodes/your-late-repentance-means-nothing-2050102017686241281
https://netshort.com/blog/your-late-repentance-means-nothing-online-watch-when-regret-comes-too-late-2050130222707113986</x:v>
      </x:c>
      <x:c r="Z293" s="12" t="str">
        <x:v>Cry For Losing Me / Billionaire Dad와 후회형 구조 비교.</x:v>
      </x:c>
    </x:row>
    <x:row r="294" ht="55" customHeight="1">
      <x:c r="A294" s="12" t="str">
        <x:v>L0293</x:v>
      </x:c>
      <x:c r="B294" s="12" t="str">
        <x:v>2026-04</x:v>
      </x:c>
      <x:c r="C294" s="12" t="str">
        <x:v>NetShort</x:v>
      </x:c>
      <x:c r="D294" s="12" t="str">
        <x:v>2026-05-19_CORRECTED</x:v>
      </x:c>
      <x:c r="E294" s="12" t="str">
        <x:v>Trend</x:v>
      </x:c>
      <x:c r="F294" s="12" t="str">
        <x:v>5/19 corrected add</x:v>
      </x:c>
      <x:c r="G294" s="12" t="str">
        <x:v>The 5-time rejected luna</x:v>
      </x:c>
      <x:c r="H294" s="12" t="str">
        <x:v>The 5-time rejected luna</x:v>
      </x:c>
      <x:c r="I294" s="12" t="str">
        <x:v>Werewolf romance; AIGC not flagged</x:v>
      </x:c>
      <x:c r="J294" s="12" t="str">
        <x:v>Not flagged</x:v>
      </x:c>
      <x:c r="K294" s="12" t="str">
        <x:v>Female / Werewolf romance</x:v>
      </x:c>
      <x:c r="L294" s="12" t="str">
        <x:v>Rejected Luna / Mate regret / Mistaken identity / No-second-chance</x:v>
      </x:c>
      <x:c r="M294" s="12" t="str">
        <x:v>Repeated rejection + mate mismatch + remarriage + regret refusal</x:v>
      </x:c>
      <x:c r="N294" s="12" t="str">
        <x:v>다섯 번 거절의 누적과 재혼 선택을 무료부에 배치하고 알파의 후회·진짜 메이트 판명을 유료부로 이월</x:v>
      </x:c>
      <x:c r="O294" s="12" t="str">
        <x:v>Low-Medium: werewolf 변신/VFX 컷은 가능하지만 제작 AIGC 후보로 보지 않음.</x:v>
      </x:c>
      <x:c r="P294" s="12" t="str">
        <x:v>다섯 번 거절당한 루나가 잘못된 알파를 버리고 새 결혼을 선택하면서 진짜 사랑과 후회를 역전시킨다.</x:v>
      </x:c>
      <x:c r="Q294" s="12" t="str">
        <x:v>Official NetShort full/episode/hotseries page; user explicitly corrected as non-AIGC.</x:v>
      </x:c>
      <x:c r="R294" s="12" t="str">
        <x:v>Werewolf rejected-mate 계열 강세. 기존 파일의 AIGC 친화 분류를 정정.</x:v>
      </x:c>
      <x:c r="S294" s="12" t="str">
        <x:v>A / Strong verified</x:v>
      </x:c>
      <x:c r="T294" s="12" t="n">
        <x:v>96</x:v>
      </x:c>
      <x:c r="U294" s="12" t="str">
        <x:v>A_Core</x:v>
      </x:c>
      <x:c r="V294" s="12" t="str">
        <x:v>CORRECT_EXISTING_AND_KEEP</x:v>
      </x:c>
      <x:c r="W294" s="12" t="str">
        <x:v>Existing L0262/L0266/L0271</x:v>
      </x:c>
      <x:c r="X294" s="12" t="str">
        <x:v>AIGC 트래커에서 제외. 기존 행의 AIGC-friendly 오분류 정정.</x:v>
      </x:c>
      <x:c r="Y294" s="12" t="str">
        <x:v>https://netshort.com/full-episodes/the-5-time-rejected-luna-2048604611983441922
https://netshort.com/hotseries/the-5-time-rejected-luna-2048604611983441922</x:v>
      </x:c>
      <x:c r="Z294" s="12" t="str">
        <x:v>ReelShort Rejected Luna Is the Alpha Queen과 구조 비교.</x:v>
      </x:c>
    </x:row>
    <x:row r="295" ht="55" customHeight="1">
      <x:c r="A295" s="12" t="str">
        <x:v>L0294</x:v>
      </x:c>
      <x:c r="B295" s="12" t="str">
        <x:v>2026-04</x:v>
      </x:c>
      <x:c r="C295" s="12" t="str">
        <x:v>NetShort</x:v>
      </x:c>
      <x:c r="D295" s="12" t="str">
        <x:v>2026-05-19_CORRECTED</x:v>
      </x:c>
      <x:c r="E295" s="12" t="str">
        <x:v>Trend</x:v>
      </x:c>
      <x:c r="F295" s="12" t="str">
        <x:v>5/19 corrected add</x:v>
      </x:c>
      <x:c r="G295" s="12" t="str">
        <x:v>Secrets Under the Skirt</x:v>
      </x:c>
      <x:c r="H295" s="12" t="str">
        <x:v>Secrets Under the Skirt</x:v>
      </x:c>
      <x:c r="I295" s="12" t="str">
        <x:v>Live-action modern romance/revenge; AIGC not flagged</x:v>
      </x:c>
      <x:c r="J295" s="12" t="str">
        <x:v>Not flagged</x:v>
      </x:c>
      <x:c r="K295" s="12" t="str">
        <x:v>Female / Secret identity romance</x:v>
      </x:c>
      <x:c r="L295" s="12" t="str">
        <x:v>Modern Romance / Karma Payback / Heiress return / Contract marriage</x:v>
      </x:c>
      <x:c r="M295" s="12" t="str">
        <x:v>Lost heiress + public wedding humiliation + powerful woman intervention</x:v>
      </x:c>
      <x:c r="N295" s="12" t="str">
        <x:v>결혼식장 공개 수모와 Carrington 권력 개입을 무료부에 배치하고 정체 공개·복수는 유료부로 이월</x:v>
      </x:c>
      <x:c r="O295" s="12" t="str">
        <x:v>Low: 실사형 관계/정체 멜로. AIGC 제작 후보 아님.</x:v>
      </x:c>
      <x:c r="P295" s="12" t="str">
        <x:v>거리에서 살아남은 잃어버린 상속녀가 팔려가듯 결혼식장에 서고, 권력자와 숨겨진 정체가 판을 뒤집는다.</x:v>
      </x:c>
      <x:c r="Q295" s="12" t="str">
        <x:v>Official NetShort full/hotseries pages; release/hotseries signals Apr 2026.</x:v>
      </x:c>
      <x:c r="R295" s="12" t="str">
        <x:v>NetShort homepage/current Modern Romance/Karma Payback 노출.</x:v>
      </x:c>
      <x:c r="S295" s="12" t="str">
        <x:v>A / Strong verified</x:v>
      </x:c>
      <x:c r="T295" s="12" t="n">
        <x:v>94</x:v>
      </x:c>
      <x:c r="U295" s="12" t="str">
        <x:v>A_Core</x:v>
      </x:c>
      <x:c r="V295" s="12" t="str">
        <x:v>ADD_NETSHORT_TREND</x:v>
      </x:c>
      <x:c r="W295" s="12"/>
      <x:c r="X295" s="12" t="str">
        <x:v>사용자 제목 ‘secret under the skirt’는 공식명 Secrets Under the Skirt로 표준화.</x:v>
      </x:c>
      <x:c r="Y295" s="12" t="str">
        <x:v>https://netshort.com/full-episodes/secrets-under-the-skirt-2038564904679505922
https://netshort.com/hotseries/secrets-under-the-skirt-2038564904679505922</x:v>
      </x:c>
      <x:c r="Z295" s="12" t="str">
        <x:v>여성-여성 권력관계/상속녀 정체 노출형 광고 훅 추출.</x:v>
      </x:c>
    </x:row>
    <x:row r="296" ht="55" customHeight="1">
      <x:c r="A296" s="12" t="str">
        <x:v>L0295</x:v>
      </x:c>
      <x:c r="B296" s="12" t="str">
        <x:v>2026-05</x:v>
      </x:c>
      <x:c r="C296" s="12" t="str">
        <x:v>NetShort</x:v>
      </x:c>
      <x:c r="D296" s="12" t="str">
        <x:v>2026-05-19_CORRECTED</x:v>
      </x:c>
      <x:c r="E296" s="12" t="str">
        <x:v>Trend</x:v>
      </x:c>
      <x:c r="F296" s="12" t="str">
        <x:v>5/19 corrected add</x:v>
      </x:c>
      <x:c r="G296" s="12" t="str">
        <x:v>Cry For Losing Me</x:v>
      </x:c>
      <x:c r="H296" s="12" t="str">
        <x:v>Cry For Losing Me</x:v>
      </x:c>
      <x:c r="I296" s="12" t="str">
        <x:v>Live-action female empowerment/all-too-late; AIGC not flagged</x:v>
      </x:c>
      <x:c r="J296" s="12" t="str">
        <x:v>Not flagged</x:v>
      </x:c>
      <x:c r="K296" s="12" t="str">
        <x:v>Female / All-too-late revenge</x:v>
      </x:c>
      <x:c r="L296" s="12" t="str">
        <x:v>Female Empowerment / Karma Payback / Marriage swap / Human shield</x:v>
      </x:c>
      <x:c r="M296" s="12" t="str">
        <x:v>Human shield betrayal + marriage swap + mother inheritance seizure</x:v>
      </x:c>
      <x:c r="N296" s="12" t="str">
        <x:v>대리희생/인간방패였다는 진실을 무료부에 배치하고 결혼 바꿔치기·상속 회수를 유료부로 이월</x:v>
      </x:c>
      <x:c r="O296" s="12" t="str">
        <x:v>Low-Medium: 후회·복수형 실사 드라마. 제작 AIGC 후보 아님.</x:v>
      </x:c>
      <x:c r="P296" s="12" t="str">
        <x:v>구원자라고 믿었던 남자가 자신을 다른 여자의 방패로 썼다는 걸 알게 된 여성이 결혼 스왑으로 복수와 재산 회수를 노린다.</x:v>
      </x:c>
      <x:c r="Q296" s="12" t="str">
        <x:v>Official NetShort full/episode/hotseries; hotseries page surfaced 2 days ago.</x:v>
      </x:c>
      <x:c r="R296" s="12" t="str">
        <x:v>NetShort all-plots/current page lists Cry For Losing Me under Female Empowerment/Karma Payback.</x:v>
      </x:c>
      <x:c r="S296" s="12" t="str">
        <x:v>A / Strong verified</x:v>
      </x:c>
      <x:c r="T296" s="12" t="n">
        <x:v>98</x:v>
      </x:c>
      <x:c r="U296" s="12" t="str">
        <x:v>A_Core</x:v>
      </x:c>
      <x:c r="V296" s="12" t="str">
        <x:v>ADD_NETSHORT_TREND</x:v>
      </x:c>
      <x:c r="W296" s="12"/>
      <x:c r="X296" s="12" t="str">
        <x:v>사용자 지적 반영. 최신 NetShort 강한 후회/복수 축.</x:v>
      </x:c>
      <x:c r="Y296" s="12" t="str">
        <x:v>https://netshort.com/full-episodes/cry-for-losing-me-2054768361190326273
https://netshort.com/hotseries/cry-for-losing-me-2054768361190326273
https://netshort.com/drama/all-plots</x:v>
      </x:c>
      <x:c r="Z296" s="12" t="str">
        <x:v>Your Late Repentance와 함께 ‘늦은 후회 거부’ 시퀀스 분해.</x:v>
      </x:c>
    </x:row>
    <x:row r="297" ht="55" customHeight="1">
      <x:c r="A297" s="12" t="str">
        <x:v>L0296</x:v>
      </x:c>
      <x:c r="B297" s="12" t="str">
        <x:v>2026-05</x:v>
      </x:c>
      <x:c r="C297" s="12" t="str">
        <x:v>ReelShort</x:v>
      </x:c>
      <x:c r="D297" s="12" t="str">
        <x:v>2026-05-19_CORRECTED</x:v>
      </x:c>
      <x:c r="E297" s="12" t="str">
        <x:v>Trend</x:v>
      </x:c>
      <x:c r="F297" s="12" t="str">
        <x:v>5/19 corrected add</x:v>
      </x:c>
      <x:c r="G297" s="12" t="str">
        <x:v>Rejected Luna Is the Alpha Queen</x:v>
      </x:c>
      <x:c r="H297" s="12" t="str">
        <x:v>Rejected Luna Is the Alpha Queen</x:v>
      </x:c>
      <x:c r="I297" s="12" t="str">
        <x:v>Werewolf fantasy romance; AIGC not flagged</x:v>
      </x:c>
      <x:c r="J297" s="12" t="str">
        <x:v>Not flagged</x:v>
      </x:c>
      <x:c r="K297" s="12" t="str">
        <x:v>Female / Werewolf alpha queen</x:v>
      </x:c>
      <x:c r="L297" s="12" t="str">
        <x:v>Rejected Luna / Hidden power / Alpha queen / Betrayed mate</x:v>
      </x:c>
      <x:c r="M297" s="12" t="str">
        <x:v>Rejected luna + hidden queen identity + pack revenge</x:v>
      </x:c>
      <x:c r="N297" s="12" t="str">
        <x:v>버림받은 루나의 힘을 초반에 과소평가시키고 알파퀸 정체/역전은 유료부로 이월</x:v>
      </x:c>
      <x:c r="O297" s="12" t="str">
        <x:v>Medium: werewolf 세계관/VFX 컷 보강 가능. 제작 AIGC 후보 아님.</x:v>
      </x:c>
      <x:c r="P297" s="12" t="str">
        <x:v>힘을 숨긴 루나가 배신당한 뒤 알파퀸의 정체와 권력을 되찾는 ReelShort werewolf 판타지.</x:v>
      </x:c>
      <x:c r="Q297" s="12" t="str">
        <x:v>Official ReelShort full episodes page appears as latest ReelShort result.</x:v>
      </x:c>
      <x:c r="R297" s="12" t="str">
        <x:v>Rejected Luna/werewolf queen 계열은 NetShort 5-time Luna와 같은 광고 욕망축.</x:v>
      </x:c>
      <x:c r="S297" s="12" t="str">
        <x:v>A / Strong verified</x:v>
      </x:c>
      <x:c r="T297" s="12" t="n">
        <x:v>94</x:v>
      </x:c>
      <x:c r="U297" s="12" t="str">
        <x:v>A_Core</x:v>
      </x:c>
      <x:c r="V297" s="12" t="str">
        <x:v>ADD_CROSS_PLATFORM_COMPARISON</x:v>
      </x:c>
      <x:c r="W297" s="12"/>
      <x:c r="X297" s="12" t="str">
        <x:v>사용자 제목 오타 quuen은 Alpha Queen으로 표준화.</x:v>
      </x:c>
      <x:c r="Y297" s="12" t="str">
        <x:v>https://www.reelshort.com/full-episodes/rejected-luna-is-the-alpha-queen-69fa0a977e9368c0730c1459</x:v>
      </x:c>
      <x:c r="Z297" s="12" t="str">
        <x:v>ReelShort 앱 내 인기순/광고 소재와 NetShort werewolf 계열 비교.</x:v>
      </x:c>
    </x:row>
    <x:row r="298" ht="55" customHeight="1">
      <x:c r="A298" s="12" t="str">
        <x:v>L0297</x:v>
      </x:c>
      <x:c r="B298" s="12" t="str">
        <x:v>2026-05</x:v>
      </x:c>
      <x:c r="C298" s="12" t="str">
        <x:v>NetShort</x:v>
      </x:c>
      <x:c r="D298" s="12" t="str">
        <x:v>2026-05-19_CORRECTED</x:v>
      </x:c>
      <x:c r="E298" s="12" t="str">
        <x:v>Trend</x:v>
      </x:c>
      <x:c r="F298" s="12" t="str">
        <x:v>5/19 corrected add</x:v>
      </x:c>
      <x:c r="G298" s="12" t="str">
        <x:v>Rusty Ring To Royal Crown</x:v>
      </x:c>
      <x:c r="H298" s="12" t="str">
        <x:v>Rusty Ring To Royal Crown</x:v>
      </x:c>
      <x:c r="I298" s="12" t="str">
        <x:v>Animation/VFX candidate; production unconfirmed</x:v>
      </x:c>
      <x:c r="J298" s="12" t="str">
        <x:v>Animation/VFX candidate; production AIGC unconfirmed</x:v>
      </x:c>
      <x:c r="K298" s="12" t="str">
        <x:v>Female / Rebirth fantasy</x:v>
      </x:c>
      <x:c r="L298" s="12" t="str">
        <x:v>Rebirth / Karma Payback / Elf king reveal / Hidden royalty</x:v>
      </x:c>
      <x:c r="M298" s="12" t="str">
        <x:v>Reborn betrayed heroine + wrong object choice + hidden royal power</x:v>
      </x:c>
      <x:c r="N298" s="12" t="str">
        <x:v>금메달이 아닌 녹슨 반지를 택하는 선택을 무료부에 배치하고 엘프왕/왕관 반전은 유료부로 이월</x:v>
      </x:c>
      <x:c r="O298" s="12" t="str">
        <x:v>High candidate: 왕관·엘프·마법 반전 비주얼은 AIGC/애니 제작 효율이 높음. 제작 확정은 미확인.</x:v>
      </x:c>
      <x:c r="P298" s="12" t="str">
        <x:v>살해당한 여성이 환생 후 금빛 권력이 아닌 녹슨 반지를 선택하며 숨겨진 왕권과 복수를 여는 판타지.</x:v>
      </x:c>
      <x:c r="Q298" s="12" t="str">
        <x:v>Official full/episode/hotseries pages; blog/hotseries says 2-4 days ago.</x:v>
      </x:c>
      <x:c r="R298" s="12" t="str">
        <x:v>Official full/episode/hotseries pages; blog/hotseries says 2-4 days ago.</x:v>
      </x:c>
      <x:c r="S298" s="12" t="str">
        <x:v>A / Strong verified</x:v>
      </x:c>
      <x:c r="T298" s="12" t="n">
        <x:v>98</x:v>
      </x:c>
      <x:c r="U298" s="12" t="str">
        <x:v>A_Core</x:v>
      </x:c>
      <x:c r="V298" s="12" t="str">
        <x:v>ADD_NETSHORT_TREND_AND_AIGC_CANDIDATE</x:v>
      </x:c>
      <x:c r="W298" s="12"/>
      <x:c r="X298" s="12" t="str">
        <x:v>AIGC 트래커 등재: 직접 근거/애니·VFX 후보로만 표기.</x:v>
      </x:c>
      <x:c r="Y298" s="12" t="str">
        <x:v>https://netshort.com/full-episodes/rusty-ring-to-royal-crown-2053693307476770818
https://netshort.com/hotseries/rusty-ring-to-royal-crown-2053693307476770818</x:v>
      </x:c>
      <x:c r="Z298" s="12" t="str">
        <x:v>앱 내 순위/광고 소재량/대표 소재 캡처 추가 확인.</x:v>
      </x:c>
    </x:row>
    <x:row r="299" ht="55" customHeight="1">
      <x:c r="A299" s="12" t="str">
        <x:v>L0298</x:v>
      </x:c>
      <x:c r="B299" s="12" t="str">
        <x:v>2026-04</x:v>
      </x:c>
      <x:c r="C299" s="12" t="str">
        <x:v>NetShort</x:v>
      </x:c>
      <x:c r="D299" s="12" t="str">
        <x:v>2026-05-19_CORRECTED</x:v>
      </x:c>
      <x:c r="E299" s="12" t="str">
        <x:v>Trend</x:v>
      </x:c>
      <x:c r="F299" s="12" t="str">
        <x:v>5/19 corrected add</x:v>
      </x:c>
      <x:c r="G299" s="12" t="str">
        <x:v>Watch Out! She's the Daughter of Zeus</x:v>
      </x:c>
      <x:c r="H299" s="12" t="str">
        <x:v>Watch Out! She's the Daughter of Zeus</x:v>
      </x:c>
      <x:c r="I299" s="12" t="str">
        <x:v>Animation/VFX candidate; production unconfirmed</x:v>
      </x:c>
      <x:c r="J299" s="12" t="str">
        <x:v>Animation/VFX candidate; production AIGC unconfirmed</x:v>
      </x:c>
      <x:c r="K299" s="12" t="str">
        <x:v>Female / Myth fantasy romance</x:v>
      </x:c>
      <x:c r="L299" s="12" t="str">
        <x:v>Greek myth / Daughter of Zeus / Betrayed goddess / Crowned weak husband</x:v>
      </x:c>
      <x:c r="M299" s="12" t="str">
        <x:v>Goddess status sacrifice + weak husband betrayal + divine authority return</x:v>
      </x:c>
      <x:c r="N299" s="12" t="str">
        <x:v>제우스의 딸이 지위를 버린 선택을 무료부에 배치하고 신성 회수/남편 응징은 유료부로 이월</x:v>
      </x:c>
      <x:c r="O299" s="12" t="str">
        <x:v>High candidate: 제우스·신성 권능·왕관 연출은 AIGC/VFX 후보. 제작 확정은 미확인.</x:v>
      </x:c>
      <x:c r="P299" s="12" t="str">
        <x:v>제우스의 딸 엘리라가 사랑을 위해 신분과 지팡이를 포기했지만, 약한 남편을 왕으로 세운 대가를 맞는다.</x:v>
      </x:c>
      <x:c r="Q299" s="12" t="str">
        <x:v>Official full/episode/hotseries pages; Apr 22 hotseries signal.</x:v>
      </x:c>
      <x:c r="R299" s="12" t="str">
        <x:v>Official full/episode/hotseries pages; Apr 22 hotseries signal.</x:v>
      </x:c>
      <x:c r="S299" s="12" t="str">
        <x:v>A / Strong verified</x:v>
      </x:c>
      <x:c r="T299" s="12" t="n">
        <x:v>97</x:v>
      </x:c>
      <x:c r="U299" s="12" t="str">
        <x:v>A_Core</x:v>
      </x:c>
      <x:c r="V299" s="12" t="str">
        <x:v>ADD_NETSHORT_TREND_AND_AIGC_CANDIDATE</x:v>
      </x:c>
      <x:c r="W299" s="12"/>
      <x:c r="X299" s="12" t="str">
        <x:v>AIGC 트래커 등재: 직접 근거/애니·VFX 후보로만 표기.</x:v>
      </x:c>
      <x:c r="Y299" s="12" t="str">
        <x:v>https://netshort.com/full-episodes/watch-out-shes-the-daughter-of-zeus-2046485225499787265
https://netshort.com/hotseries/watch-out-shes-the-daughter-of-zeus-2046485225499787265</x:v>
      </x:c>
      <x:c r="Z299" s="12" t="str">
        <x:v>앱 내 순위/광고 소재량/대표 소재 캡처 추가 확인.</x:v>
      </x:c>
    </x:row>
    <x:row r="300" ht="55" customHeight="1">
      <x:c r="A300" s="12" t="str">
        <x:v>L0299</x:v>
      </x:c>
      <x:c r="B300" s="12" t="str">
        <x:v>2026-05</x:v>
      </x:c>
      <x:c r="C300" s="12" t="str">
        <x:v>NetShort</x:v>
      </x:c>
      <x:c r="D300" s="12" t="str">
        <x:v>2026-05-19_CORRECTED</x:v>
      </x:c>
      <x:c r="E300" s="12" t="str">
        <x:v>Trend</x:v>
      </x:c>
      <x:c r="F300" s="12" t="str">
        <x:v>5/19 corrected add</x:v>
      </x:c>
      <x:c r="G300" s="12" t="str">
        <x:v>(Dubbed) Village Fool? God Mode ON!</x:v>
      </x:c>
      <x:c r="H300" s="12" t="str">
        <x:v>(Dubbed) Village Fool? God Mode ON!</x:v>
      </x:c>
      <x:c r="I300" s="12" t="str">
        <x:v>Live-action/format not flagged</x:v>
      </x:c>
      <x:c r="J300" s="12" t="str">
        <x:v>Dubbed/live-action or format not confirmed; AIGC not flagged</x:v>
      </x:c>
      <x:c r="K300" s="12" t="str">
        <x:v>Male / Urban fantasy</x:v>
      </x:c>
      <x:c r="L300" s="12" t="str">
        <x:v>Urban Fantasy / Underdog Rise / Village fool / Hidden power</x:v>
      </x:c>
      <x:c r="M300" s="12" t="str">
        <x:v>Mocked fool + god-mode reveal + local hierarchy reversal</x:v>
      </x:c>
      <x:c r="N300" s="12" t="str">
        <x:v>바보 취급받는 인물의 첫 능력 발동까지만 무료부에 두고 진짜 정체/상위 권력은 유료부로 이월</x:v>
      </x:c>
      <x:c r="O300" s="12" t="str">
        <x:v>Medium: god-mode VFX는 가능하지만 제작 AIGC 근거 없음. 사용자 지적에 따라 AIGC 제외.</x:v>
      </x:c>
      <x:c r="P300" s="12" t="str">
        <x:v>마을 바보로 조롱받던 인물이 뜻밖의 갓모드를 켜며 주변 질서를 뒤집는 역습형 판타지.</x:v>
      </x:c>
      <x:c r="Q300" s="12" t="str">
        <x:v>Official hotseries/episode pages and all-plots/current recommendations.</x:v>
      </x:c>
      <x:c r="R300" s="12" t="str">
        <x:v>Official hotseries/episode pages and all-plots/current recommendations.</x:v>
      </x:c>
      <x:c r="S300" s="12" t="str">
        <x:v>A / Strong verified</x:v>
      </x:c>
      <x:c r="T300" s="12" t="n">
        <x:v>94</x:v>
      </x:c>
      <x:c r="U300" s="12" t="str">
        <x:v>A_Core</x:v>
      </x:c>
      <x:c r="V300" s="12" t="str">
        <x:v>ADD_NETSHORT_TREND_CORRECTED_NON_AIGC</x:v>
      </x:c>
      <x:c r="W300" s="12"/>
      <x:c r="X300" s="12" t="str">
        <x:v>AIGC 트래커 제외 또는 비AIGC 참조용.</x:v>
      </x:c>
      <x:c r="Y300" s="12" t="str">
        <x:v>https://netshort.com/hotseries/dubbed-village-fool-god-mode-on-2053002755154763777
https://netshort.com/episode/dubbed-village-fool-god-mode-on-2053002755154763777
https://netshort.com/drama/all-plots</x:v>
      </x:c>
      <x:c r="Z300" s="12" t="str">
        <x:v>앱 내 순위/광고 소재량/대표 소재 캡처 추가 확인.</x:v>
      </x:c>
    </x:row>
    <x:row r="301" ht="55" customHeight="1">
      <x:c r="A301" s="12" t="str">
        <x:v>L0300</x:v>
      </x:c>
      <x:c r="B301" s="12" t="str">
        <x:v>2026-04</x:v>
      </x:c>
      <x:c r="C301" s="12" t="str">
        <x:v>NetShort</x:v>
      </x:c>
      <x:c r="D301" s="12" t="str">
        <x:v>2026-05-19_CORRECTED</x:v>
      </x:c>
      <x:c r="E301" s="12" t="str">
        <x:v>Trend</x:v>
      </x:c>
      <x:c r="F301" s="12" t="str">
        <x:v>5/19 corrected add</x:v>
      </x:c>
      <x:c r="G301" s="12" t="str">
        <x:v>The Discarded Ace</x:v>
      </x:c>
      <x:c r="H301" s="12" t="str">
        <x:v>The Discarded Ace</x:v>
      </x:c>
      <x:c r="I301" s="12" t="str">
        <x:v>Direct external evidence says AI/AI-like production; NetShort official title verified</x:v>
      </x:c>
      <x:c r="J301" s="12" t="str">
        <x:v>Direct/Explicit AI</x:v>
      </x:c>
      <x:c r="K301" s="12" t="str">
        <x:v>Male / AI outcast revenge</x:v>
      </x:c>
      <x:c r="L301" s="12" t="str">
        <x:v>Gambling / Outcast heir / Stunt fantasy / Family guardian</x:v>
      </x:c>
      <x:c r="M301" s="12" t="str">
        <x:v>Abandoned son + card mastery + deadly gamble + god of gamblers</x:v>
      </x:c>
      <x:c r="N301" s="12" t="str">
        <x:v>가족에게 버려진 과거와 첫 카드 기술 반전을 무료부에 두고 가문 구원/도박 신화는 유료부로 이월</x:v>
      </x:c>
      <x:c r="O301" s="12" t="str">
        <x:v>High: TopMarketing reports it as NetShort AI representative; facial emotion/micro-expression quality noted.</x:v>
      </x:c>
      <x:c r="P301" s="12" t="str">
        <x:v>버려진 상속자가 은둔 도박 전설에게 기술을 배워 귀환하고, 치명적 도박판에서 가문을 구하는 남성향 역습극.</x:v>
      </x:c>
      <x:c r="Q301" s="12" t="str">
        <x:v>TopMarketing identifies it alongside One Move as NetShort AI representative; official full page verified.</x:v>
      </x:c>
      <x:c r="R301" s="12" t="str">
        <x:v>TopMarketing identifies it alongside One Move as NetShort AI representative; official full page verified.</x:v>
      </x:c>
      <x:c r="S301" s="12" t="str">
        <x:v>A / Strong verified</x:v>
      </x:c>
      <x:c r="T301" s="12" t="n">
        <x:v>100</x:v>
      </x:c>
      <x:c r="U301" s="12" t="str">
        <x:v>A_Core</x:v>
      </x:c>
      <x:c r="V301" s="12" t="str">
        <x:v>ADD_AND_AIGC_DIRECT</x:v>
      </x:c>
      <x:c r="W301" s="12"/>
      <x:c r="X301" s="12" t="str">
        <x:v>AIGC 트래커 제외 또는 비AIGC 참조용.</x:v>
      </x:c>
      <x:c r="Y301" s="12" t="str">
        <x:v>https://netshort.com/full-episodes/the-discarded-ace-2041056545067761666
https://www.itopmarketing.com/info22317</x:v>
      </x:c>
      <x:c r="Z301" s="12" t="str">
        <x:v>앱 내 순위/광고 소재량/대표 소재 캡처 추가 확인.</x:v>
      </x:c>
    </x:row>
    <x:row r="302" ht="55" customHeight="1">
      <x:c r="A302" s="12" t="str">
        <x:v>L0301</x:v>
      </x:c>
      <x:c r="B302" s="12" t="str">
        <x:v>2026-05</x:v>
      </x:c>
      <x:c r="C302" s="12" t="str">
        <x:v>NetShort</x:v>
      </x:c>
      <x:c r="D302" s="12" t="str">
        <x:v>2026-05-19_CORRECTED</x:v>
      </x:c>
      <x:c r="E302" s="12" t="str">
        <x:v>Trend</x:v>
      </x:c>
      <x:c r="F302" s="12" t="str">
        <x:v>5/19 corrected add</x:v>
      </x:c>
      <x:c r="G302" s="12" t="str">
        <x:v>Go Ahead, Ghouls, Hit Me</x:v>
      </x:c>
      <x:c r="H302" s="12" t="str">
        <x:v>Go Ahead, Ghouls, Hit Me</x:v>
      </x:c>
      <x:c r="I302" s="12" t="str">
        <x:v>Animation/VFX candidate; production unconfirmed</x:v>
      </x:c>
      <x:c r="J302" s="12" t="str">
        <x:v>Animation/VFX candidate; production AIGC unconfirmed</x:v>
      </x:c>
      <x:c r="K302" s="12" t="str">
        <x:v>Male / System horror comedy</x:v>
      </x:c>
      <x:c r="L302" s="12" t="str">
        <x:v>Urban Fantasy / Underdog Rise / Ghoul / System rewards</x:v>
      </x:c>
      <x:c r="M302" s="12" t="str">
        <x:v>Debt-ridden worker + ghoul attack + system awakening</x:v>
      </x:c>
      <x:c r="N302" s="12" t="str">
        <x:v>귀신에게 죽을 위기를 무료부에 배치하고 ‘맞을수록 보상’ 시스템 룰의 확장은 유료부로 이월</x:v>
      </x:c>
      <x:c r="O302" s="12" t="str">
        <x:v>High candidate: 귀신·시스템 UI·액션 코미디는 AIGC/애니 확장성이 큼. 제작 확정은 미확인.</x:v>
      </x:c>
      <x:c r="P302" s="12" t="str">
        <x:v>빚에 몰린 회사원이 귀신에게 습격당한 순간, 맞을수록 보상이 붙는 시스템을 깨운다.</x:v>
      </x:c>
      <x:c r="Q302" s="12" t="str">
        <x:v>Official full/hotseries pages; hotseries listed 23h/1d ago.</x:v>
      </x:c>
      <x:c r="R302" s="12" t="str">
        <x:v>Official full/hotseries pages; hotseries listed 23h/1d ago.</x:v>
      </x:c>
      <x:c r="S302" s="12" t="str">
        <x:v>A / Strong verified</x:v>
      </x:c>
      <x:c r="T302" s="12" t="n">
        <x:v>96</x:v>
      </x:c>
      <x:c r="U302" s="12" t="str">
        <x:v>A_Core</x:v>
      </x:c>
      <x:c r="V302" s="12" t="str">
        <x:v>ADD_NETSHORT_AIGC_CANDIDATE</x:v>
      </x:c>
      <x:c r="W302" s="12"/>
      <x:c r="X302" s="12" t="str">
        <x:v>AIGC 트래커 등재: 직접 근거/애니·VFX 후보로만 표기.</x:v>
      </x:c>
      <x:c r="Y302" s="12" t="str">
        <x:v>https://netshort.com/full-episodes/go-ahead-ghouls-hit-me-2053776632522473473
https://netshort.com/hotseries/go-ahead-ghouls-hit-me-2053776632522473473</x:v>
      </x:c>
      <x:c r="Z302" s="12" t="str">
        <x:v>앱 내 순위/광고 소재량/대표 소재 캡처 추가 확인.</x:v>
      </x:c>
    </x:row>
    <x:row r="303" ht="55" customHeight="1">
      <x:c r="A303" s="12" t="str">
        <x:v>L0302</x:v>
      </x:c>
      <x:c r="B303" s="12" t="str">
        <x:v>2026-05</x:v>
      </x:c>
      <x:c r="C303" s="12" t="str">
        <x:v>NetShort</x:v>
      </x:c>
      <x:c r="D303" s="12" t="str">
        <x:v>2026-05-19_CORRECTED</x:v>
      </x:c>
      <x:c r="E303" s="12" t="str">
        <x:v>Trend</x:v>
      </x:c>
      <x:c r="F303" s="12" t="str">
        <x:v>5/19 corrected add</x:v>
      </x:c>
      <x:c r="G303" s="12" t="str">
        <x:v>I AM THE LAST SAVIOR</x:v>
      </x:c>
      <x:c r="H303" s="12" t="str">
        <x:v>I AM THE LAST SAVIOR</x:v>
      </x:c>
      <x:c r="I303" s="12" t="str">
        <x:v>Animation/VFX candidate; production unconfirmed</x:v>
      </x:c>
      <x:c r="J303" s="12" t="str">
        <x:v>Animation/VFX candidate; production AIGC unconfirmed</x:v>
      </x:c>
      <x:c r="K303" s="12" t="str">
        <x:v>Male / Sci-Fi family action</x:v>
      </x:c>
      <x:c r="L303" s="12" t="str">
        <x:v>Sci-Fi / Karma Payback / Hidden war lord / Family reunion</x:v>
      </x:c>
      <x:c r="M303" s="12" t="str">
        <x:v>Hidden War Lord + abandoned daughter/wife + apocalyptic scale</x:v>
      </x:c>
      <x:c r="N303" s="12" t="str">
        <x:v>18년 이별 가족 재회와 워로드 정체의 첫 단서를 무료부에 두고 구출/응징은 유료부로 이월</x:v>
      </x:c>
      <x:c r="O303" s="12" t="str">
        <x:v>High candidate: official/review snippets reference animated storytelling/high production; production AIGC unconfirmed.</x:v>
      </x:c>
      <x:c r="P303" s="12" t="str">
        <x:v>숨겨진 워로드가 18년 만에 아내와 딸을 만나고, 가짜 낙태와 음모로 찢어진 가족을 되찾는다.</x:v>
      </x:c>
      <x:c r="Q303" s="12" t="str">
        <x:v>Official full/hotseries pages surfaced as current all-plots Sci-Fi/Karma Payback title.</x:v>
      </x:c>
      <x:c r="R303" s="12" t="str">
        <x:v>Official full/hotseries pages surfaced as current all-plots Sci-Fi/Karma Payback title.</x:v>
      </x:c>
      <x:c r="S303" s="12" t="str">
        <x:v>A / Strong verified</x:v>
      </x:c>
      <x:c r="T303" s="12" t="n">
        <x:v>96</x:v>
      </x:c>
      <x:c r="U303" s="12" t="str">
        <x:v>A_Core</x:v>
      </x:c>
      <x:c r="V303" s="12" t="str">
        <x:v>ADD_NETSHORT_AIGC_CANDIDATE</x:v>
      </x:c>
      <x:c r="W303" s="12"/>
      <x:c r="X303" s="12" t="str">
        <x:v>AIGC 트래커 등재: 직접 근거/애니·VFX 후보로만 표기.</x:v>
      </x:c>
      <x:c r="Y303" s="12" t="str">
        <x:v>https://netshort.com/full-episodes/i-am-the-last-savior-2054765358626504705
https://netshort.com/hotseries/i-am-the-last-savior-2054765358626504705
https://netshort.com/drama/all-plots</x:v>
      </x:c>
      <x:c r="Z303" s="12" t="str">
        <x:v>앱 내 순위/광고 소재량/대표 소재 캡처 추가 확인.</x:v>
      </x:c>
    </x:row>
    <x:row r="304" ht="55" customHeight="1">
      <x:c r="A304" s="12" t="str">
        <x:v>L0303</x:v>
      </x:c>
      <x:c r="B304" s="12" t="str">
        <x:v>2026-05</x:v>
      </x:c>
      <x:c r="C304" s="12" t="str">
        <x:v>NetShort</x:v>
      </x:c>
      <x:c r="D304" s="12" t="str">
        <x:v>2026-05-19_CORRECTED</x:v>
      </x:c>
      <x:c r="E304" s="12" t="str">
        <x:v>Trend</x:v>
      </x:c>
      <x:c r="F304" s="12" t="str">
        <x:v>5/19 corrected add</x:v>
      </x:c>
      <x:c r="G304" s="12" t="str">
        <x:v>They See Terror, I See Beauties!</x:v>
      </x:c>
      <x:c r="H304" s="12" t="str">
        <x:v>They See Terror, I See Beauties!</x:v>
      </x:c>
      <x:c r="I304" s="12" t="str">
        <x:v>Animation/VFX candidate; production unconfirmed</x:v>
      </x:c>
      <x:c r="J304" s="12" t="str">
        <x:v>Animation/VFX candidate; production AIGC unconfirmed</x:v>
      </x:c>
      <x:c r="K304" s="12" t="str">
        <x:v>Male / Horror fantasy harem</x:v>
      </x:c>
      <x:c r="L304" s="12" t="str">
        <x:v>Fantasy World / Ghost world / Horror comedy / Beauty conversion</x:v>
      </x:c>
      <x:c r="M304" s="12" t="str">
        <x:v>Everyone sees monsters; protagonist sees beauties</x:v>
      </x:c>
      <x:c r="N304" s="12" t="str">
        <x:v>공포 세계 진입과 인식 전환을 무료부에 두고 귀신 미녀들과의 관계/전투를 유료부로 이월</x:v>
      </x:c>
      <x:c r="O304" s="12" t="str">
        <x:v>High candidate: 귀신·공포 세계·판타지 이펙트는 AIGC/애니 활용 가치가 큼. 제작 확정은 미확인.</x:v>
      </x:c>
      <x:c r="P304" s="12" t="str">
        <x:v>귀신으로 가득한 세계에 들어간 남자가 남들이 공포로 보는 존재들을 아름다운 여성으로 인식한다.</x:v>
      </x:c>
      <x:c r="Q304" s="12" t="str">
        <x:v>Official full/episode pages; current recommendation adjacency to Bye Cult/Last Savior.</x:v>
      </x:c>
      <x:c r="R304" s="12" t="str">
        <x:v>Official full/episode pages; current recommendation adjacency to Bye Cult/Last Savior.</x:v>
      </x:c>
      <x:c r="S304" s="12" t="str">
        <x:v>A / Strong verified</x:v>
      </x:c>
      <x:c r="T304" s="12" t="n">
        <x:v>95</x:v>
      </x:c>
      <x:c r="U304" s="12" t="str">
        <x:v>A_Core</x:v>
      </x:c>
      <x:c r="V304" s="12" t="str">
        <x:v>ADD_NETSHORT_AIGC_CANDIDATE</x:v>
      </x:c>
      <x:c r="W304" s="12"/>
      <x:c r="X304" s="12" t="str">
        <x:v>AIGC 트래커 등재: 직접 근거/애니·VFX 후보로만 표기.</x:v>
      </x:c>
      <x:c r="Y304" s="12" t="str">
        <x:v>https://netshort.com/full-episodes/they-see-terror-i-see-beauties-2054045783550853122
https://netshort.com/drama/all-plots</x:v>
      </x:c>
      <x:c r="Z304" s="12" t="str">
        <x:v>앱 내 순위/광고 소재량/대표 소재 캡처 추가 확인.</x:v>
      </x:c>
    </x:row>
    <x:row r="305" ht="55" customHeight="1">
      <x:c r="A305" s="12" t="str">
        <x:v>L0304</x:v>
      </x:c>
      <x:c r="B305" s="12" t="str">
        <x:v>2026-04</x:v>
      </x:c>
      <x:c r="C305" s="12" t="str">
        <x:v>NetShort</x:v>
      </x:c>
      <x:c r="D305" s="12" t="str">
        <x:v>2026-05-19_CORRECTED</x:v>
      </x:c>
      <x:c r="E305" s="12" t="str">
        <x:v>Trend</x:v>
      </x:c>
      <x:c r="F305" s="12" t="str">
        <x:v>5/19 corrected add</x:v>
      </x:c>
      <x:c r="G305" s="12" t="str">
        <x:v>F Rank? I Got a God-Tier System!</x:v>
      </x:c>
      <x:c r="H305" s="12" t="str">
        <x:v>F Rank? I Got a God-Tier System!</x:v>
      </x:c>
      <x:c r="I305" s="12" t="str">
        <x:v>Animation/VFX candidate; production unconfirmed</x:v>
      </x:c>
      <x:c r="J305" s="12" t="str">
        <x:v>Animation/VFX candidate; production AIGC unconfirmed</x:v>
      </x:c>
      <x:c r="K305" s="12" t="str">
        <x:v>Male / System apocalypse</x:v>
      </x:c>
      <x:c r="L305" s="12" t="str">
        <x:v>Life OL / Monster apocalypse / God-tier system / Ex regret</x:v>
      </x:c>
      <x:c r="M305" s="12" t="str">
        <x:v>F-rank humiliation + ex dumping + god-tier system awaken</x:v>
      </x:c>
      <x:c r="N305" s="12" t="str">
        <x:v>S급 전여친에게 버림받는 모욕과 죽음 직전 시스템 각성을 무료부에 배치하고 몬스터 세계 정복을 유료부로 이월</x:v>
      </x:c>
      <x:c r="O305" s="12" t="str">
        <x:v>High candidate: system UI·몬스터·이세계 액션은 AIGC/애니 후보. Episode review references animation quality.</x:v>
      </x:c>
      <x:c r="P305" s="12" t="str">
        <x:v>F랭크 루저가 S랭크 전여친에게 버림받은 뒤 몬스터 아포칼립스에서 갓티어 시스템을 깨운다.</x:v>
      </x:c>
      <x:c r="Q305" s="12" t="str">
        <x:v>Official full/episode pages; Life OL category and episode reviews mention animation quality.</x:v>
      </x:c>
      <x:c r="R305" s="12" t="str">
        <x:v>Official full/episode pages; Life OL category and episode reviews mention animation quality.</x:v>
      </x:c>
      <x:c r="S305" s="12" t="str">
        <x:v>A / Strong verified</x:v>
      </x:c>
      <x:c r="T305" s="12" t="n">
        <x:v>95</x:v>
      </x:c>
      <x:c r="U305" s="12" t="str">
        <x:v>A_Core</x:v>
      </x:c>
      <x:c r="V305" s="12" t="str">
        <x:v>ADD_NETSHORT_AIGC_CANDIDATE</x:v>
      </x:c>
      <x:c r="W305" s="12"/>
      <x:c r="X305" s="12" t="str">
        <x:v>AIGC 트래커 등재: 직접 근거/애니·VFX 후보로만 표기.</x:v>
      </x:c>
      <x:c r="Y305" s="12" t="str">
        <x:v>https://netshort.com/full-episodes/f-rank-i-got-a-god-tier-system-2045675333096570882</x:v>
      </x:c>
      <x:c r="Z305" s="12" t="str">
        <x:v>앱 내 순위/광고 소재량/대표 소재 캡처 추가 확인.</x:v>
      </x:c>
    </x:row>
    <x:row r="306" ht="55" customHeight="1">
      <x:c r="A306" s="12" t="str">
        <x:v>L0305</x:v>
      </x:c>
      <x:c r="B306" s="12" t="str">
        <x:v>2026-04</x:v>
      </x:c>
      <x:c r="C306" s="12" t="str">
        <x:v>NetShort</x:v>
      </x:c>
      <x:c r="D306" s="12" t="str">
        <x:v>2026-05-19_CORRECTED</x:v>
      </x:c>
      <x:c r="E306" s="12" t="str">
        <x:v>Trend</x:v>
      </x:c>
      <x:c r="F306" s="12" t="str">
        <x:v>5/19 corrected add</x:v>
      </x:c>
      <x:c r="G306" s="12" t="str">
        <x:v>Reborn as Zombie: I Devour All</x:v>
      </x:c>
      <x:c r="H306" s="12" t="str">
        <x:v>Reborn as Zombie: I Devour All</x:v>
      </x:c>
      <x:c r="I306" s="12" t="str">
        <x:v>Animation/VFX candidate; production unconfirmed</x:v>
      </x:c>
      <x:c r="J306" s="12" t="str">
        <x:v>Animation/VFX candidate; production AIGC unconfirmed</x:v>
      </x:c>
      <x:c r="K306" s="12" t="str">
        <x:v>Male / Zombie devour evolution</x:v>
      </x:c>
      <x:c r="L306" s="12" t="str">
        <x:v>Rebirth / Apocalypse / Infinite devour system / Undead king</x:v>
      </x:c>
      <x:c r="M306" s="12" t="str">
        <x:v>Betrayal death + zombie rebirth + devour evolution</x:v>
      </x:c>
      <x:c r="N306" s="12" t="str">
        <x:v>좀비 떼에 던져져 죽는 장면과 첫 포식 진화를 무료부에 두고 언데드 왕귀를 유료부로 이월</x:v>
      </x:c>
      <x:c r="O306" s="12" t="str">
        <x:v>High candidate: 좀비군단·포식 이펙트·언데드 진화는 AIGC/애니 활용도가 높음.</x:v>
      </x:c>
      <x:c r="P306" s="12" t="str">
        <x:v>배신당해 좀비 떼에 던져진 남자가 강력한 언데드로 환생하고 무한 포식 시스템으로 진화한다.</x:v>
      </x:c>
      <x:c r="Q306" s="12" t="str">
        <x:v>Official full/episode pages; apocalypse/rebirth category signal.</x:v>
      </x:c>
      <x:c r="R306" s="12" t="str">
        <x:v>Official full/episode pages; apocalypse/rebirth category signal.</x:v>
      </x:c>
      <x:c r="S306" s="12" t="str">
        <x:v>A / Strong verified</x:v>
      </x:c>
      <x:c r="T306" s="12" t="n">
        <x:v>93</x:v>
      </x:c>
      <x:c r="U306" s="12" t="str">
        <x:v>A_Core</x:v>
      </x:c>
      <x:c r="V306" s="12" t="str">
        <x:v>ADD_NETSHORT_AIGC_CANDIDATE</x:v>
      </x:c>
      <x:c r="W306" s="12"/>
      <x:c r="X306" s="12" t="str">
        <x:v>AIGC 트래커 등재: 직접 근거/애니·VFX 후보로만 표기.</x:v>
      </x:c>
      <x:c r="Y306" s="12" t="str">
        <x:v>https://netshort.com/full-episodes/reborn-as-zombie-i-devour-all-2042486566856687618</x:v>
      </x:c>
      <x:c r="Z306" s="12" t="str">
        <x:v>앱 내 순위/광고 소재량/대표 소재 캡처 추가 확인.</x:v>
      </x:c>
    </x:row>
    <x:row r="307" ht="55" customHeight="1">
      <x:c r="A307" s="12" t="str">
        <x:v>L0306</x:v>
      </x:c>
      <x:c r="B307" s="12" t="str">
        <x:v>2026-04</x:v>
      </x:c>
      <x:c r="C307" s="12" t="str">
        <x:v>NetShort</x:v>
      </x:c>
      <x:c r="D307" s="12" t="str">
        <x:v>2026-05-19_CORRECTED</x:v>
      </x:c>
      <x:c r="E307" s="12" t="str">
        <x:v>Trend</x:v>
      </x:c>
      <x:c r="F307" s="12" t="str">
        <x:v>5/19 corrected add</x:v>
      </x:c>
      <x:c r="G307" s="12" t="str">
        <x:v>A Pet Turtle? The Supreme Beast!</x:v>
      </x:c>
      <x:c r="H307" s="12" t="str">
        <x:v>A Pet Turtle? The Supreme Beast!</x:v>
      </x:c>
      <x:c r="I307" s="12" t="str">
        <x:v>Animation/VFX candidate; production unconfirmed</x:v>
      </x:c>
      <x:c r="J307" s="12" t="str">
        <x:v>Animation/VFX candidate; production AIGC unconfirmed</x:v>
      </x:c>
      <x:c r="K307" s="12" t="str">
        <x:v>Male / Beast-taming system</x:v>
      </x:c>
      <x:c r="L307" s="12" t="str">
        <x:v>Eastern Fantasy / Underdog Rise / Beast taming / Sister rescue</x:v>
      </x:c>
      <x:c r="M307" s="12" t="str">
        <x:v>Poor boy + dying sister + ultimate system + useless pet becomes supreme beast</x:v>
      </x:c>
      <x:c r="N307" s="12" t="str">
        <x:v>죽어가는 동생과 보잘것없는 거북이를 무료부에 배치하고 최고수 야수 반전은 유료부로 이월</x:v>
      </x:c>
      <x:c r="O307" s="12" t="str">
        <x:v>High candidate: 마수·소환·전투 이펙트가 강함. Episode review references crisp animation style.</x:v>
      </x:c>
      <x:c r="P307" s="12" t="str">
        <x:v>몬스터가 지배하는 세계에서 가난한 소년이 죽어가는 여동생을 구하기 위해 궁극 시스템과 야수 길들이기를 각성한다.</x:v>
      </x:c>
      <x:c r="Q307" s="12" t="str">
        <x:v>Official episode pages; review snippets reference animation/style; current fantasy/system fit.</x:v>
      </x:c>
      <x:c r="R307" s="12" t="str">
        <x:v>Official episode pages; review snippets reference animation/style; current fantasy/system fit.</x:v>
      </x:c>
      <x:c r="S307" s="12" t="str">
        <x:v>A / Strong verified</x:v>
      </x:c>
      <x:c r="T307" s="12" t="n">
        <x:v>94</x:v>
      </x:c>
      <x:c r="U307" s="12" t="str">
        <x:v>A_Core</x:v>
      </x:c>
      <x:c r="V307" s="12" t="str">
        <x:v>ADD_NETSHORT_AIGC_CANDIDATE</x:v>
      </x:c>
      <x:c r="W307" s="12"/>
      <x:c r="X307" s="12" t="str">
        <x:v>AIGC 트래커 등재: 직접 근거/애니·VFX 후보로만 표기.</x:v>
      </x:c>
      <x:c r="Y307" s="12" t="str">
        <x:v>https://netshort.com/episode/a-pet-turtle-the-supreme-beast-2043959891072122881</x:v>
      </x:c>
      <x:c r="Z307" s="12" t="str">
        <x:v>앱 내 순위/광고 소재량/대표 소재 캡처 추가 확인.</x:v>
      </x:c>
    </x:row>
    <x:row r="308" ht="55" customHeight="1">
      <x:c r="A308" s="12" t="str">
        <x:v>L0307</x:v>
      </x:c>
      <x:c r="B308" s="12" t="str">
        <x:v>2026-04</x:v>
      </x:c>
      <x:c r="C308" s="12" t="str">
        <x:v>NetShort</x:v>
      </x:c>
      <x:c r="D308" s="12" t="str">
        <x:v>2026-05-19_CORRECTED</x:v>
      </x:c>
      <x:c r="E308" s="12" t="str">
        <x:v>Trend</x:v>
      </x:c>
      <x:c r="F308" s="12" t="str">
        <x:v>5/19 corrected add</x:v>
      </x:c>
      <x:c r="G308" s="12" t="str">
        <x:v>Wait, I Reborn as a Pet Lizard?</x:v>
      </x:c>
      <x:c r="H308" s="12" t="str">
        <x:v>Wait, I Reborn as a Pet Lizard?</x:v>
      </x:c>
      <x:c r="I308" s="12" t="str">
        <x:v>Animation/VFX candidate; production unconfirmed</x:v>
      </x:c>
      <x:c r="J308" s="12" t="str">
        <x:v>Animation/VFX candidate; production AIGC unconfirmed</x:v>
      </x:c>
      <x:c r="K308" s="12" t="str">
        <x:v>Male / Dragon rebirth fantasy</x:v>
      </x:c>
      <x:c r="L308" s="12" t="str">
        <x:v>Rebirth / Dragon king / Pet lizard / Soul transfer</x:v>
      </x:c>
      <x:c r="M308" s="12" t="str">
        <x:v>Dragon king betrayed + soul rebirth as summoned pet</x:v>
      </x:c>
      <x:c r="N308" s="12" t="str">
        <x:v>드래곤왕 배신과 알 속 환생을 무료부에 배치하고 힘 회복/소환자 관계를 유료부로 이월</x:v>
      </x:c>
      <x:c r="O308" s="12" t="str">
        <x:v>High candidate: 드래곤·변신·소환수 전투는 AIGC/애니 제작 효율이 높음.</x:v>
      </x:c>
      <x:c r="P308" s="12" t="str">
        <x:v>신을 죽인 드래곤왕이 동료에게 배신당하고 영혼만 도망쳐 알 속 도마뱀으로 환생한다.</x:v>
      </x:c>
      <x:c r="Q308" s="12" t="str">
        <x:v>Official full/episode/hotseries pages; fantasy/rebirth trend.</x:v>
      </x:c>
      <x:c r="R308" s="12" t="str">
        <x:v>Official full/episode/hotseries pages; fantasy/rebirth trend.</x:v>
      </x:c>
      <x:c r="S308" s="12" t="str">
        <x:v>A / Strong verified</x:v>
      </x:c>
      <x:c r="T308" s="12" t="n">
        <x:v>94</x:v>
      </x:c>
      <x:c r="U308" s="12" t="str">
        <x:v>A_Core</x:v>
      </x:c>
      <x:c r="V308" s="12" t="str">
        <x:v>ADD_NETSHORT_AIGC_CANDIDATE</x:v>
      </x:c>
      <x:c r="W308" s="12"/>
      <x:c r="X308" s="12" t="str">
        <x:v>AIGC 트래커 등재: 직접 근거/애니·VFX 후보로만 표기.</x:v>
      </x:c>
      <x:c r="Y308" s="12" t="str">
        <x:v>https://netshort.com/full-episodes/wait-i-reborn-as-a-pet-lizard-2044316729676398593</x:v>
      </x:c>
      <x:c r="Z308" s="12" t="str">
        <x:v>앱 내 순위/광고 소재량/대표 소재 캡처 추가 확인.</x:v>
      </x:c>
    </x:row>
    <x:row r="309" ht="55" customHeight="1">
      <x:c r="A309" s="12" t="str">
        <x:v>L0308</x:v>
      </x:c>
      <x:c r="B309" s="12" t="str">
        <x:v>2026-05</x:v>
      </x:c>
      <x:c r="C309" s="12" t="str">
        <x:v>NetShort</x:v>
      </x:c>
      <x:c r="D309" s="12" t="str">
        <x:v>2026-05-19_CORRECTED</x:v>
      </x:c>
      <x:c r="E309" s="12" t="str">
        <x:v>Trend</x:v>
      </x:c>
      <x:c r="F309" s="12" t="str">
        <x:v>5/19 corrected add</x:v>
      </x:c>
      <x:c r="G309" s="12" t="str">
        <x:v>Death Game? Watch Me WIN!</x:v>
      </x:c>
      <x:c r="H309" s="12" t="str">
        <x:v>Death Game? Watch Me WIN!</x:v>
      </x:c>
      <x:c r="I309" s="12" t="str">
        <x:v>Animation/VFX candidate; production unconfirmed</x:v>
      </x:c>
      <x:c r="J309" s="12" t="str">
        <x:v>Animation/VFX candidate; production AIGC unconfirmed</x:v>
      </x:c>
      <x:c r="K309" s="12" t="str">
        <x:v>Male / Horror game survival</x:v>
      </x:c>
      <x:c r="L309" s="12" t="str">
        <x:v>Dark fantasy / Global death game / Monster survival / Genius counterplay</x:v>
      </x:c>
      <x:c r="M309" s="12" t="str">
        <x:v>Forced death game + S-class bond + genius outsmarting monsters</x:v>
      </x:c>
      <x:c r="N309" s="12" t="str">
        <x:v>전세계 데스게임 강제 참가와 첫 괴물 회피를 무료부에 배치하고 시스템 룰 파훼는 유료부로 이월</x:v>
      </x:c>
      <x:c r="O309" s="12" t="str">
        <x:v>High candidate: death-game UI·몬스터·공포 액션. Episode review mentions animation style blending horror/comedy.</x:v>
      </x:c>
      <x:c r="P309" s="12" t="str">
        <x:v>글로벌 호러 게임에 강제 소환된 천재가 괴물과 경쟁자들을 속이고 살아남는다.</x:v>
      </x:c>
      <x:c r="Q309" s="12" t="str">
        <x:v>Official full/hotseries pages; May 10 hotseries signal and recent reviews.</x:v>
      </x:c>
      <x:c r="R309" s="12" t="str">
        <x:v>Official full/hotseries pages; May 10 hotseries signal and recent reviews.</x:v>
      </x:c>
      <x:c r="S309" s="12" t="str">
        <x:v>A / Strong verified</x:v>
      </x:c>
      <x:c r="T309" s="12" t="n">
        <x:v>94</x:v>
      </x:c>
      <x:c r="U309" s="12" t="str">
        <x:v>A_Core</x:v>
      </x:c>
      <x:c r="V309" s="12" t="str">
        <x:v>ADD_NETSHORT_AIGC_CANDIDATE</x:v>
      </x:c>
      <x:c r="W309" s="12"/>
      <x:c r="X309" s="12" t="str">
        <x:v>AIGC 트래커 등재: 직접 근거/애니·VFX 후보로만 표기.</x:v>
      </x:c>
      <x:c r="Y309" s="12" t="str">
        <x:v>https://netshort.com/full-episodes/death-game-watch-me-win-2051566549088600065</x:v>
      </x:c>
      <x:c r="Z309" s="12" t="str">
        <x:v>앱 내 순위/광고 소재량/대표 소재 캡처 추가 확인.</x:v>
      </x:c>
    </x:row>
    <x:row r="310" ht="55" customHeight="1">
      <x:c r="A310" s="12" t="str">
        <x:v>L0309</x:v>
      </x:c>
      <x:c r="B310" s="12" t="str">
        <x:v>2026-05</x:v>
      </x:c>
      <x:c r="C310" s="12" t="str">
        <x:v>NetShort</x:v>
      </x:c>
      <x:c r="D310" s="12" t="str">
        <x:v>2026-05-19_CORRECTED</x:v>
      </x:c>
      <x:c r="E310" s="12" t="str">
        <x:v>Trend</x:v>
      </x:c>
      <x:c r="F310" s="12" t="str">
        <x:v>5/19 corrected add</x:v>
      </x:c>
      <x:c r="G310" s="12" t="str">
        <x:v>Trash Dragon Ate the World!</x:v>
      </x:c>
      <x:c r="H310" s="12" t="str">
        <x:v>Trash Dragon Ate the World!</x:v>
      </x:c>
      <x:c r="I310" s="12" t="str">
        <x:v>Animation/VFX candidate; production unconfirmed</x:v>
      </x:c>
      <x:c r="J310" s="12" t="str">
        <x:v>Animation/VFX candidate; production AIGC unconfirmed</x:v>
      </x:c>
      <x:c r="K310" s="12" t="str">
        <x:v>Mixed / Dragon pet evolution</x:v>
      </x:c>
      <x:c r="L310" s="12" t="str">
        <x:v>Dragon / Pet evolution / School beauty / Karma Payback</x:v>
      </x:c>
      <x:c r="M310" s="12" t="str">
        <x:v>Discarded tiny dragon + found by school beauty + evolves into world-devourer</x:v>
      </x:c>
      <x:c r="N310" s="12" t="str">
        <x:v>쓰레기통에 버려진 작은 용을 무료부에 배치하고 세계를 먹는 진화/복수는 유료부로 이월</x:v>
      </x:c>
      <x:c r="O310" s="12" t="str">
        <x:v>High candidate: dragon evolution and review snippets mention stunning animation.</x:v>
      </x:c>
      <x:c r="P310" s="12" t="str">
        <x:v>작은 용으로 소환됐다가 코어를 뽑히고 버려진 존재가 새로운 주인을 만나 세계급 괴물로 진화한다.</x:v>
      </x:c>
      <x:c r="Q310" s="12" t="str">
        <x:v>Official full/hotseries pages; episode review references animation and crystal cave scene.</x:v>
      </x:c>
      <x:c r="R310" s="12" t="str">
        <x:v>Official full/hotseries pages; episode review references animation and crystal cave scene.</x:v>
      </x:c>
      <x:c r="S310" s="12" t="str">
        <x:v>A / Strong verified</x:v>
      </x:c>
      <x:c r="T310" s="12" t="n">
        <x:v>94</x:v>
      </x:c>
      <x:c r="U310" s="12" t="str">
        <x:v>A_Core</x:v>
      </x:c>
      <x:c r="V310" s="12" t="str">
        <x:v>ADD_NETSHORT_AIGC_CANDIDATE</x:v>
      </x:c>
      <x:c r="W310" s="12"/>
      <x:c r="X310" s="12" t="str">
        <x:v>AIGC 트래커 등재: 직접 근거/애니·VFX 후보로만 표기.</x:v>
      </x:c>
      <x:c r="Y310" s="12" t="str">
        <x:v>https://netshort.com/full-episodes/trash-dragon-ate-the-world-2046488704607846402</x:v>
      </x:c>
      <x:c r="Z310" s="12" t="str">
        <x:v>앱 내 순위/광고 소재량/대표 소재 캡처 추가 확인.</x:v>
      </x:c>
    </x:row>
    <x:row r="311" ht="55" customHeight="1">
      <x:c r="A311" s="12" t="str">
        <x:v>L0310</x:v>
      </x:c>
      <x:c r="B311" s="12" t="str">
        <x:v>2026-05</x:v>
      </x:c>
      <x:c r="C311" s="12" t="str">
        <x:v>NetShort</x:v>
      </x:c>
      <x:c r="D311" s="12" t="str">
        <x:v>2026-05-19_CORRECTED</x:v>
      </x:c>
      <x:c r="E311" s="12" t="str">
        <x:v>Trend</x:v>
      </x:c>
      <x:c r="F311" s="12" t="str">
        <x:v>5/19 corrected add</x:v>
      </x:c>
      <x:c r="G311" s="12" t="str">
        <x:v>I Rule the World with a Hot Spring System!</x:v>
      </x:c>
      <x:c r="H311" s="12" t="str">
        <x:v>I Rule the World with a Hot Spring System!</x:v>
      </x:c>
      <x:c r="I311" s="12" t="str">
        <x:v>Animation/VFX candidate; production unconfirmed</x:v>
      </x:c>
      <x:c r="J311" s="12" t="str">
        <x:v>Animation/VFX candidate; production AIGC unconfirmed</x:v>
      </x:c>
      <x:c r="K311" s="12" t="str">
        <x:v>Male / Apocalypse system</x:v>
      </x:c>
      <x:c r="L311" s="12" t="str">
        <x:v>Urban Fantasy / Frozen apocalypse / Hot spring system / Luxury revenge</x:v>
      </x:c>
      <x:c r="M311" s="12" t="str">
        <x:v>Loser delivery guy + rebirth + hot spring resource monopoly</x:v>
      </x:c>
      <x:c r="N311" s="12" t="str">
        <x:v>얼어붙은 세계와 온천 시스템 첫 발동을 무료부에 배치하고 자원 지배/복수 경제는 유료부로 이월</x:v>
      </x:c>
      <x:c r="O311" s="12" t="str">
        <x:v>High candidate: 시스템 UI·빙하기 도시·온천 판타지 비주얼은 AIGC 후보.</x:v>
      </x:c>
      <x:c r="P311" s="12" t="str">
        <x:v>얼어붙은 아포칼립스에서 재탄생한 배달원이 신비한 온천 시스템으로 생존과 권력을 독점한다.</x:v>
      </x:c>
      <x:c r="Q311" s="12" t="str">
        <x:v>Official full/episode pages; Life OL/Urban Fantasy category flow.</x:v>
      </x:c>
      <x:c r="R311" s="12" t="str">
        <x:v>Official full/episode pages; Life OL/Urban Fantasy category flow.</x:v>
      </x:c>
      <x:c r="S311" s="12" t="str">
        <x:v>A / Strong verified</x:v>
      </x:c>
      <x:c r="T311" s="12" t="n">
        <x:v>93</x:v>
      </x:c>
      <x:c r="U311" s="12" t="str">
        <x:v>A_Core</x:v>
      </x:c>
      <x:c r="V311" s="12" t="str">
        <x:v>ADD_NETSHORT_AIGC_CANDIDATE</x:v>
      </x:c>
      <x:c r="W311" s="12"/>
      <x:c r="X311" s="12" t="str">
        <x:v>AIGC 트래커 등재: 직접 근거/애니·VFX 후보로만 표기.</x:v>
      </x:c>
      <x:c r="Y311" s="12" t="str">
        <x:v>https://netshort.com/full-episodes/i-rule-the-world-with-a-hot-spring-system-2051565339421966337</x:v>
      </x:c>
      <x:c r="Z311" s="12" t="str">
        <x:v>앱 내 순위/광고 소재량/대표 소재 캡처 추가 확인.</x:v>
      </x:c>
    </x:row>
    <x:row r="312" ht="55" customHeight="1">
      <x:c r="A312" s="12" t="str">
        <x:v>L0311</x:v>
      </x:c>
      <x:c r="B312" s="12" t="str">
        <x:v>2026-04</x:v>
      </x:c>
      <x:c r="C312" s="12" t="str">
        <x:v>NetShort</x:v>
      </x:c>
      <x:c r="D312" s="12" t="str">
        <x:v>2026-05-19_CORRECTED</x:v>
      </x:c>
      <x:c r="E312" s="12" t="str">
        <x:v>Trend</x:v>
      </x:c>
      <x:c r="F312" s="12" t="str">
        <x:v>5/19 corrected add</x:v>
      </x:c>
      <x:c r="G312" s="12" t="str">
        <x:v>The ONLY Girl In A World Of Beasts</x:v>
      </x:c>
      <x:c r="H312" s="12" t="str">
        <x:v>The ONLY Girl In A World Of Beasts</x:v>
      </x:c>
      <x:c r="I312" s="12" t="str">
        <x:v>Animation/VFX candidate; production unconfirmed</x:v>
      </x:c>
      <x:c r="J312" s="12" t="str">
        <x:v>Animation/VFX candidate; production AIGC unconfirmed</x:v>
      </x:c>
      <x:c r="K312" s="12" t="str">
        <x:v>Female / Beast-world reverse harem</x:v>
      </x:c>
      <x:c r="L312" s="12" t="str">
        <x:v>Immortal Love / Beast world / Rare female / Alpha kings</x:v>
      </x:c>
      <x:c r="M312" s="12" t="str">
        <x:v>Only human/rare female + wolf/tiger/eagle kings + survival romance</x:v>
      </x:c>
      <x:c r="N312" s="12" t="str">
        <x:v>짐승 세계로 떨어진 유일한 여성을 무료부에 배치하고 세 알파왕의 선택/보호 경쟁을 유료부로 이월</x:v>
      </x:c>
      <x:c r="O312" s="12" t="str">
        <x:v>High candidate: beastmen/이세계/역하렘 비주얼은 AIGC/애니 후보. 제작 확정은 미확인.</x:v>
      </x:c>
      <x:c r="P312" s="12" t="str">
        <x:v>대학생 여성이 짐승 세계로 떨어지고, 희귀한 여성으로서 세 알파 왕의 욕망과 보호 경쟁 한가운데 선다.</x:v>
      </x:c>
      <x:c r="Q312" s="12" t="str">
        <x:v>Official full/episode pages; fantasy world category recommendation.</x:v>
      </x:c>
      <x:c r="R312" s="12" t="str">
        <x:v>Official full/episode pages; fantasy world category recommendation.</x:v>
      </x:c>
      <x:c r="S312" s="12" t="str">
        <x:v>A / Strong verified</x:v>
      </x:c>
      <x:c r="T312" s="12" t="n">
        <x:v>92</x:v>
      </x:c>
      <x:c r="U312" s="12" t="str">
        <x:v>A_Core</x:v>
      </x:c>
      <x:c r="V312" s="12" t="str">
        <x:v>ADD_NETSHORT_AIGC_CANDIDATE</x:v>
      </x:c>
      <x:c r="W312" s="12"/>
      <x:c r="X312" s="12" t="str">
        <x:v>AIGC 트래커 등재: 직접 근거/애니·VFX 후보로만 표기.</x:v>
      </x:c>
      <x:c r="Y312" s="12" t="str">
        <x:v>https://netshort.com/full-episodes/the-only-girl-in-a-world-of-beasts-2046513782586343426</x:v>
      </x:c>
      <x:c r="Z312" s="12" t="str">
        <x:v>앱 내 순위/광고 소재량/대표 소재 캡처 추가 확인.</x:v>
      </x:c>
    </x:row>
    <x:row r="313" ht="55" customHeight="1">
      <x:c r="A313" s="12" t="str">
        <x:v>L0312</x:v>
      </x:c>
      <x:c r="B313" s="12" t="str">
        <x:v>2026-05</x:v>
      </x:c>
      <x:c r="C313" s="12" t="str">
        <x:v>NetShort</x:v>
      </x:c>
      <x:c r="D313" s="12" t="str">
        <x:v>2026-05-19_CORRECTED</x:v>
      </x:c>
      <x:c r="E313" s="12" t="str">
        <x:v>Trend</x:v>
      </x:c>
      <x:c r="F313" s="12" t="str">
        <x:v>5/19 corrected add</x:v>
      </x:c>
      <x:c r="G313" s="12" t="str">
        <x:v>Mountain Saint, Underworld King</x:v>
      </x:c>
      <x:c r="H313" s="12" t="str">
        <x:v>Mountain Saint, Underworld King</x:v>
      </x:c>
      <x:c r="I313" s="12" t="str">
        <x:v>Live-action/format not flagged</x:v>
      </x:c>
      <x:c r="J313" s="12" t="str">
        <x:v>Live-action/action fantasy; AIGC not flagged</x:v>
      </x:c>
      <x:c r="K313" s="12" t="str">
        <x:v>Male / Martial underworld</x:v>
      </x:c>
      <x:c r="L313" s="12" t="str">
        <x:v>Taoist descent / Underworld empire / Widows / Power inheritance</x:v>
      </x:c>
      <x:c r="M313" s="12" t="str">
        <x:v>Mountain Taoist + one woman + empire inheritance + dangerous widows</x:v>
      </x:c>
      <x:c r="N313" s="12" t="str">
        <x:v>산에서 내려온 도사의 목적과 유산 상속 단서를 무료부에 배치하고 암흑가 제국 전쟁은 유료부로 이월</x:v>
      </x:c>
      <x:c r="O313" s="12" t="str">
        <x:v>Medium: 액션·도술 VFX 보강 가능. 제작 AIGC 후보로 분류하지 않음.</x:v>
      </x:c>
      <x:c r="P313" s="12" t="str">
        <x:v>한 여자를 위해 산을 내려온 젊은 도사가 제국과 네 명의 위험한 미망인, 암흑가 전쟁을 상속한다.</x:v>
      </x:c>
      <x:c r="Q313" s="12" t="str">
        <x:v>Official full/hotseries pages; 6 days ago hotseries signal.</x:v>
      </x:c>
      <x:c r="R313" s="12" t="str">
        <x:v>Official full/hotseries pages; 6 days ago hotseries signal.</x:v>
      </x:c>
      <x:c r="S313" s="12" t="str">
        <x:v>A / Strong verified</x:v>
      </x:c>
      <x:c r="T313" s="12" t="n">
        <x:v>92</x:v>
      </x:c>
      <x:c r="U313" s="12" t="str">
        <x:v>A_Core</x:v>
      </x:c>
      <x:c r="V313" s="12" t="str">
        <x:v>ADD_NETSHORT_TREND</x:v>
      </x:c>
      <x:c r="W313" s="12"/>
      <x:c r="X313" s="12" t="str">
        <x:v>AIGC 트래커 제외 또는 비AIGC 참조용.</x:v>
      </x:c>
      <x:c r="Y313" s="12" t="str">
        <x:v>https://netshort.com/full-episodes/mountain-saint-underworld-king-2051586701519749122</x:v>
      </x:c>
      <x:c r="Z313" s="12" t="str">
        <x:v>앱 내 순위/광고 소재량/대표 소재 캡처 추가 확인.</x:v>
      </x:c>
    </x:row>
    <x:row r="314" ht="55" customHeight="1">
      <x:c r="A314" s="12" t="str">
        <x:v>L0313</x:v>
      </x:c>
      <x:c r="B314" s="12" t="str">
        <x:v>2026-05</x:v>
      </x:c>
      <x:c r="C314" s="12" t="str">
        <x:v>NetShort</x:v>
      </x:c>
      <x:c r="D314" s="12" t="str">
        <x:v>2026-05-19_CORRECTED</x:v>
      </x:c>
      <x:c r="E314" s="12" t="str">
        <x:v>Trend</x:v>
      </x:c>
      <x:c r="F314" s="12" t="str">
        <x:v>5/19 corrected add</x:v>
      </x:c>
      <x:c r="G314" s="12" t="str">
        <x:v>After My Slumber, Gods Repent</x:v>
      </x:c>
      <x:c r="H314" s="12" t="str">
        <x:v>After My Slumber, Gods Repent</x:v>
      </x:c>
      <x:c r="I314" s="12" t="str">
        <x:v>Animation/VFX candidate; production unconfirmed</x:v>
      </x:c>
      <x:c r="J314" s="12" t="str">
        <x:v>Animation/VFX candidate; production AIGC unconfirmed</x:v>
      </x:c>
      <x:c r="K314" s="12" t="str">
        <x:v>Family regret / Fantasy</x:v>
      </x:c>
      <x:c r="L314" s="12" t="str">
        <x:v>Asgard / Sibling regret / World Tree sacrifice</x:v>
      </x:c>
      <x:c r="M314" s="12" t="str">
        <x:v>Beloved princess betrayed + divine family regret</x:v>
      </x:c>
      <x:c r="N314" s="12" t="str">
        <x:v>사랑받던 공주가 친자매 귀환 뒤 버림받고 세계수에 영혼을 바치는 장면을 무료부에 배치</x:v>
      </x:c>
      <x:c r="O314" s="12" t="str">
        <x:v>High candidate: Asgard/World Tree/divine regret VFX; production AIGC unconfirmed.</x:v>
      </x:c>
      <x:c r="P314" s="12" t="str">
        <x:v>아스가르드의 사랑받던 공주가 가족에게 버림받은 뒤 세계수를 위해 영혼을 희생하고 남은 가족은 끝없는 후회에 빠진다.</x:v>
      </x:c>
      <x:c r="Q314" s="12" t="str">
        <x:v>Official NetShort page verified in 2026-05-19 correction pass.</x:v>
      </x:c>
      <x:c r="R314" s="12" t="str">
        <x:v>Current NetShort all-plots/hotseries/recent episode signal; exact app ranking needs in-app check.</x:v>
      </x:c>
      <x:c r="S314" s="12" t="str">
        <x:v>A / Strong verified</x:v>
      </x:c>
      <x:c r="T314" s="12" t="n">
        <x:v>91</x:v>
      </x:c>
      <x:c r="U314" s="12" t="str">
        <x:v>A_Core</x:v>
      </x:c>
      <x:c r="V314" s="12" t="str">
        <x:v>ADD_CURRENT_FANTASY_CANDIDATE</x:v>
      </x:c>
      <x:c r="W314" s="12"/>
      <x:c r="X314" s="12" t="str">
        <x:v>최신 NetShort 트렌드 보강. AIGC 여부는 증거 기준으로 분리.</x:v>
      </x:c>
      <x:c r="Y314" s="12" t="str">
        <x:v>https://netshort.com/full-episodes/after-my-slumber-gods-repent-2052962354697601026
https://netshort.com/hotseries/after-my-slumber-gods-repent-2052962354697601026</x:v>
      </x:c>
      <x:c r="Z314" s="12" t="str">
        <x:v>앱 내 Top-Rated/광고 소재/조회 반응 캡처로 score 조정.</x:v>
      </x:c>
    </x:row>
    <x:row r="315" ht="55" customHeight="1">
      <x:c r="A315" s="12" t="str">
        <x:v>L0314</x:v>
      </x:c>
      <x:c r="B315" s="12" t="str">
        <x:v>2026-04</x:v>
      </x:c>
      <x:c r="C315" s="12" t="str">
        <x:v>NetShort</x:v>
      </x:c>
      <x:c r="D315" s="12" t="str">
        <x:v>2026-05-19_CORRECTED</x:v>
      </x:c>
      <x:c r="E315" s="12" t="str">
        <x:v>Trend</x:v>
      </x:c>
      <x:c r="F315" s="12" t="str">
        <x:v>5/19 corrected add</x:v>
      </x:c>
      <x:c r="G315" s="12" t="str">
        <x:v>Divorced &amp; Unmasked: The AI Queen Rules</x:v>
      </x:c>
      <x:c r="H315" s="12" t="str">
        <x:v>Divorced &amp; Unmasked: The AI Queen Rules</x:v>
      </x:c>
      <x:c r="I315" s="12" t="str">
        <x:v>AI-theme only; not production evidence</x:v>
      </x:c>
      <x:c r="J315" s="12" t="str">
        <x:v>AI-theme only; production AIGC unconfirmed</x:v>
      </x:c>
      <x:c r="K315" s="12" t="str">
        <x:v>Female / AI-genius romance</x:v>
      </x:c>
      <x:c r="L315" s="12" t="str">
        <x:v>Rebirth / Love After Divorce / AI genius / CEO rival marriage</x:v>
      </x:c>
      <x:c r="M315" s="12" t="str">
        <x:v>Hidden AI genius + divorce + rival CEO alliance</x:v>
      </x:c>
      <x:c r="N315" s="12" t="str">
        <x:v>AI 천재였던 비비안의 이혼과 라이벌 CEO와의 재혼을 무료부에 배치하고 기술 재등장/성공은 유료부로 이월</x:v>
      </x:c>
      <x:c r="O315" s="12" t="str">
        <x:v>Medium: 제목/소재가 AI theme일 뿐 제작 AIGC 아님. AIGC 트래커에서는 별도 ‘AI-theme only’로 격리.</x:v>
      </x:c>
      <x:c r="P315" s="12" t="str">
        <x:v>숨겨진 AI 천재가 잘못된 남자를 위해 희생한 뒤 이혼하고 라이벌 CEO와 결혼하며 기술과 권력을 회수한다.</x:v>
      </x:c>
      <x:c r="Q315" s="12" t="str">
        <x:v>Official NetShort page verified in 2026-05-19 correction pass.</x:v>
      </x:c>
      <x:c r="R315" s="12" t="str">
        <x:v>Current NetShort all-plots/hotseries/recent episode signal; exact app ranking needs in-app check.</x:v>
      </x:c>
      <x:c r="S315" s="12" t="str">
        <x:v>B / Useful verified</x:v>
      </x:c>
      <x:c r="T315" s="12" t="n">
        <x:v>88</x:v>
      </x:c>
      <x:c r="U315" s="12" t="str">
        <x:v>B_Strong</x:v>
      </x:c>
      <x:c r="V315" s="12" t="str">
        <x:v>CORRECT_SOURCE_AND_KEEP_AI_THEME_ONLY</x:v>
      </x:c>
      <x:c r="W315" s="12"/>
      <x:c r="X315" s="12" t="str">
        <x:v>최신 NetShort 트렌드 보강. AIGC 여부는 증거 기준으로 분리.</x:v>
      </x:c>
      <x:c r="Y315" s="12" t="str">
        <x:v>https://netshort.com/full-episodes/divorced-unmasked-the-ai-queen-rules-2014152893217890306</x:v>
      </x:c>
      <x:c r="Z315" s="12" t="str">
        <x:v>앱 내 Top-Rated/광고 소재/조회 반응 캡처로 score 조정.</x:v>
      </x:c>
    </x:row>
    <x:row r="316" ht="55" customHeight="1">
      <x:c r="A316" s="12" t="str">
        <x:v>L0315</x:v>
      </x:c>
      <x:c r="B316" s="12" t="str">
        <x:v>2026-02</x:v>
      </x:c>
      <x:c r="C316" s="12" t="str">
        <x:v>NetShort</x:v>
      </x:c>
      <x:c r="D316" s="12" t="str">
        <x:v>2026-05-19_CORRECTED</x:v>
      </x:c>
      <x:c r="E316" s="12" t="str">
        <x:v>Trend</x:v>
      </x:c>
      <x:c r="F316" s="12" t="str">
        <x:v>5/19 corrected add</x:v>
      </x:c>
      <x:c r="G316" s="12" t="str">
        <x:v>Hidden Wolf King：A Hybrid Loser</x:v>
      </x:c>
      <x:c r="H316" s="12" t="str">
        <x:v>Hidden Wolf King：A Hybrid Loser</x:v>
      </x:c>
      <x:c r="I316" s="12" t="str">
        <x:v>Live-action/format not flagged</x:v>
      </x:c>
      <x:c r="J316" s="12" t="str">
        <x:v>Live-action/werewolf fantasy; AIGC not flagged</x:v>
      </x:c>
      <x:c r="K316" s="12" t="str">
        <x:v>Male / Werewolf hidden power</x:v>
      </x:c>
      <x:c r="L316" s="12" t="str">
        <x:v>Werewolf / Hybrid loser / Hidden savior</x:v>
      </x:c>
      <x:c r="M316" s="12" t="str">
        <x:v>Worthless half-blood + godlike power reveal</x:v>
      </x:c>
      <x:c r="N316" s="12" t="str">
        <x:v>하프블러드 루저로 멸시받는 상태를 무료부에 배치하고 늑대왕/구원자 정체를 유료부로 이월</x:v>
      </x:c>
      <x:c r="O316" s="12" t="str">
        <x:v>Medium: 늑대 변신/VFX 후보이나 제작 AIGC로 분류하지 않음.</x:v>
      </x:c>
      <x:c r="P316" s="12" t="str">
        <x:v>하프블러드 루저로 무시받던 남자가 사실은 신급 힘을 가진 구원자임을 드러낸다.</x:v>
      </x:c>
      <x:c r="Q316" s="12" t="str">
        <x:v>Official NetShort page verified in 2026-05-19 correction pass.</x:v>
      </x:c>
      <x:c r="R316" s="12" t="str">
        <x:v>Current NetShort all-plots/hotseries/recent episode signal; exact app ranking needs in-app check.</x:v>
      </x:c>
      <x:c r="S316" s="12" t="str">
        <x:v>B / Useful verified</x:v>
      </x:c>
      <x:c r="T316" s="12" t="n">
        <x:v>86</x:v>
      </x:c>
      <x:c r="U316" s="12" t="str">
        <x:v>B_Strong</x:v>
      </x:c>
      <x:c r="V316" s="12" t="str">
        <x:v>ADD_NETSHORT_WEREWOLF_REFERENCE</x:v>
      </x:c>
      <x:c r="W316" s="12"/>
      <x:c r="X316" s="12" t="str">
        <x:v>최신 NetShort 트렌드 보강. AIGC 여부는 증거 기준으로 분리.</x:v>
      </x:c>
      <x:c r="Y316" s="12" t="str">
        <x:v>https://netshort.com/full-episodes/hidden-wolf-kinga-hybrid-loser-1986749243246444546</x:v>
      </x:c>
      <x:c r="Z316" s="12" t="str">
        <x:v>앱 내 Top-Rated/광고 소재/조회 반응 캡처로 score 조정.</x:v>
      </x:c>
    </x:row>
    <x:row r="317" ht="55" customHeight="1">
      <x:c r="A317" s="12" t="str">
        <x:v>L0316</x:v>
      </x:c>
      <x:c r="B317" s="12" t="str">
        <x:v>2026-03</x:v>
      </x:c>
      <x:c r="C317" s="12" t="str">
        <x:v>NetShort</x:v>
      </x:c>
      <x:c r="D317" s="12" t="str">
        <x:v>2026-05-19_CORRECTED</x:v>
      </x:c>
      <x:c r="E317" s="12" t="str">
        <x:v>Trend</x:v>
      </x:c>
      <x:c r="F317" s="12" t="str">
        <x:v>5/19 corrected add</x:v>
      </x:c>
      <x:c r="G317" s="12" t="str">
        <x:v>Tame the Devils or Die: The Villainess's Revenge</x:v>
      </x:c>
      <x:c r="H317" s="12" t="str">
        <x:v>Tame the Devils or Die: The Villainess's Revenge</x:v>
      </x:c>
      <x:c r="I317" s="12" t="str">
        <x:v>Animation/VFX candidate; production unconfirmed</x:v>
      </x:c>
      <x:c r="J317" s="12" t="str">
        <x:v>Animation/VFX candidate; production AIGC unconfirmed</x:v>
      </x:c>
      <x:c r="K317" s="12" t="str">
        <x:v>Female / Otome system fantasy</x:v>
      </x:c>
      <x:c r="L317" s="12" t="str">
        <x:v>Otome game / Villainess / Devil butlers / Dark value system</x:v>
      </x:c>
      <x:c r="M317" s="12" t="str">
        <x:v>Transmigration + survival system + demon butlers</x:v>
      </x:c>
      <x:c r="N317" s="12" t="str">
        <x:v>악녀로 빙의한 직장인과 네 악마 집사의 호감도/흑화 수치를 무료부에 배치</x:v>
      </x:c>
      <x:c r="O317" s="12" t="str">
        <x:v>High candidate: otome-system UI and devil butler fantasy are AIGC/animated slate compatible.</x:v>
      </x:c>
      <x:c r="P317" s="12" t="str">
        <x:v>과로 직장인이 오토메 게임의 잔혹한 악녀로 깨어나 네 악마 집사의 복수와 시스템 룰 속에서 살아남아야 한다.</x:v>
      </x:c>
      <x:c r="Q317" s="12" t="str">
        <x:v>Official NetShort page verified in 2026-05-19 correction pass.</x:v>
      </x:c>
      <x:c r="R317" s="12" t="str">
        <x:v>Current NetShort all-plots/hotseries/recent episode signal; exact app ranking needs in-app check.</x:v>
      </x:c>
      <x:c r="S317" s="12" t="str">
        <x:v>A / Strong verified</x:v>
      </x:c>
      <x:c r="T317" s="12" t="n">
        <x:v>90</x:v>
      </x:c>
      <x:c r="U317" s="12" t="str">
        <x:v>A_Core</x:v>
      </x:c>
      <x:c r="V317" s="12" t="str">
        <x:v>ADD_NETSHORT_AIGC_CANDIDATE</x:v>
      </x:c>
      <x:c r="W317" s="12"/>
      <x:c r="X317" s="12" t="str">
        <x:v>최신 NetShort 트렌드 보강. AIGC 여부는 증거 기준으로 분리.</x:v>
      </x:c>
      <x:c r="Y317" s="12" t="str">
        <x:v>https://netshort.com/full-episodes/tame-the-devils-or-die-the-villainesss-revenge-2021762099012669441</x:v>
      </x:c>
      <x:c r="Z317" s="12" t="str">
        <x:v>앱 내 Top-Rated/광고 소재/조회 반응 캡처로 score 조정.</x:v>
      </x:c>
    </x:row>
    <x:row r="318" ht="55" customHeight="1">
      <x:c r="A318" s="12" t="str">
        <x:v>L0317</x:v>
      </x:c>
      <x:c r="B318" s="12" t="str">
        <x:v>2026-05</x:v>
      </x:c>
      <x:c r="C318" s="12" t="str">
        <x:v>NetShort</x:v>
      </x:c>
      <x:c r="D318" s="12" t="str">
        <x:v>2026-05-19_CORRECTED</x:v>
      </x:c>
      <x:c r="E318" s="12" t="str">
        <x:v>Trend</x:v>
      </x:c>
      <x:c r="F318" s="12" t="str">
        <x:v>5/19 corrected add</x:v>
      </x:c>
      <x:c r="G318" s="12" t="str">
        <x:v>Hurt Me? I'll Seal Your Doom</x:v>
      </x:c>
      <x:c r="H318" s="12" t="str">
        <x:v>Hurt Me? I'll Seal Your Doom</x:v>
      </x:c>
      <x:c r="I318" s="12" t="str">
        <x:v>Live-action/format not flagged</x:v>
      </x:c>
      <x:c r="J318" s="12" t="str">
        <x:v>Live-action revenge; AIGC not flagged</x:v>
      </x:c>
      <x:c r="K318" s="12" t="str">
        <x:v>Female / Revenge trauma</x:v>
      </x:c>
      <x:c r="L318" s="12" t="str">
        <x:v>Karma Payback / Revenge / Assault trauma / Doom sealing</x:v>
      </x:c>
      <x:c r="M318" s="12" t="str">
        <x:v>Brutal harm + survivor counterattack</x:v>
      </x:c>
      <x:c r="N318" s="12" t="str">
        <x:v>비 오는 밤의 상처와 가해자 셋을 무료부에 배치하고 응징/사회적 파멸은 유료부로 이월</x:v>
      </x:c>
      <x:c r="O318" s="12" t="str">
        <x:v>Low: 실사형 심리 복수. AIGC 후보 아님.</x:v>
      </x:c>
      <x:c r="P318" s="12" t="str">
        <x:v>세 남자에게 잔혹하게 해를 입은 천재 소녀가 미래를 빼앗긴 뒤 복수와 파멸의 판을 짠다.</x:v>
      </x:c>
      <x:c r="Q318" s="12" t="str">
        <x:v>Official NetShort page verified in 2026-05-19 correction pass.</x:v>
      </x:c>
      <x:c r="R318" s="12" t="str">
        <x:v>Current NetShort all-plots/hotseries/recent episode signal; exact app ranking needs in-app check.</x:v>
      </x:c>
      <x:c r="S318" s="12" t="str">
        <x:v>B / Useful verified</x:v>
      </x:c>
      <x:c r="T318" s="12" t="n">
        <x:v>89</x:v>
      </x:c>
      <x:c r="U318" s="12" t="str">
        <x:v>B_Strong</x:v>
      </x:c>
      <x:c r="V318" s="12" t="str">
        <x:v>ADD_CURRENT_KARMA_PAYBACK</x:v>
      </x:c>
      <x:c r="W318" s="12"/>
      <x:c r="X318" s="12" t="str">
        <x:v>최신 NetShort 트렌드 보강. AIGC 여부는 증거 기준으로 분리.</x:v>
      </x:c>
      <x:c r="Y318" s="12" t="str">
        <x:v>https://netshort.com/full-episodes/hurt-me-ill-seal-your-doom-2054032705056669697</x:v>
      </x:c>
      <x:c r="Z318" s="12" t="str">
        <x:v>앱 내 Top-Rated/광고 소재/조회 반응 캡처로 score 조정.</x:v>
      </x:c>
    </x:row>
    <x:row r="319" ht="55" customHeight="1">
      <x:c r="A319" s="12" t="str">
        <x:v>L0318</x:v>
      </x:c>
      <x:c r="B319" s="12" t="str">
        <x:v>2026-05</x:v>
      </x:c>
      <x:c r="C319" s="12" t="str">
        <x:v>NetShort</x:v>
      </x:c>
      <x:c r="D319" s="12" t="str">
        <x:v>2026-05-19_CORRECTED</x:v>
      </x:c>
      <x:c r="E319" s="12" t="str">
        <x:v>Trend</x:v>
      </x:c>
      <x:c r="F319" s="12" t="str">
        <x:v>5/19 corrected add</x:v>
      </x:c>
      <x:c r="G319" s="12" t="str">
        <x:v>The Eunuch I Married</x:v>
      </x:c>
      <x:c r="H319" s="12" t="str">
        <x:v>The Eunuch I Married</x:v>
      </x:c>
      <x:c r="I319" s="12" t="str">
        <x:v>Live-action/format not flagged</x:v>
      </x:c>
      <x:c r="J319" s="12" t="str">
        <x:v>Historical live-action; AIGC not flagged</x:v>
      </x:c>
      <x:c r="K319" s="12" t="str">
        <x:v>Female / Historical revenge romance</x:v>
      </x:c>
      <x:c r="L319" s="12" t="str">
        <x:v>Historical Romance / Revenge marriage / Secret decree / Court eunuch</x:v>
      </x:c>
      <x:c r="M319" s="12" t="str">
        <x:v>Noblewoman + feared eunuch + secret decree</x:v>
      </x:c>
      <x:c r="N319" s="12" t="str">
        <x:v>복수를 위해 환관과 결혼하는 선택을 무료부에 배치하고 음모가 발각된 뒤의 관계 전환을 유료부로 이월</x:v>
      </x:c>
      <x:c r="O319" s="12" t="str">
        <x:v>Medium: 시대극 세트/의상 보강. 제작 AIGC 후보 아님.</x:v>
      </x:c>
      <x:c r="P319" s="12" t="str">
        <x:v>귀족 여성이 비밀 칙령을 빼앗기 위해 두려움의 대상인 궁정 환관과 결혼하며 복수를 설계한다.</x:v>
      </x:c>
      <x:c r="Q319" s="12" t="str">
        <x:v>Official NetShort page verified in 2026-05-19 correction pass.</x:v>
      </x:c>
      <x:c r="R319" s="12" t="str">
        <x:v>Current NetShort all-plots/hotseries/recent episode signal; exact app ranking needs in-app check.</x:v>
      </x:c>
      <x:c r="S319" s="12" t="str">
        <x:v>B / Useful verified</x:v>
      </x:c>
      <x:c r="T319" s="12" t="n">
        <x:v>89</x:v>
      </x:c>
      <x:c r="U319" s="12" t="str">
        <x:v>B_Strong</x:v>
      </x:c>
      <x:c r="V319" s="12" t="str">
        <x:v>ADD_CURRENT_HISTORICAL_ROMANCE</x:v>
      </x:c>
      <x:c r="W319" s="12"/>
      <x:c r="X319" s="12" t="str">
        <x:v>최신 NetShort 트렌드 보강. AIGC 여부는 증거 기준으로 분리.</x:v>
      </x:c>
      <x:c r="Y319" s="12" t="str">
        <x:v>https://netshort.com/full-episodes/the-eunuch-i-married-2053376678415040514</x:v>
      </x:c>
      <x:c r="Z319" s="12" t="str">
        <x:v>앱 내 Top-Rated/광고 소재/조회 반응 캡처로 score 조정.</x:v>
      </x:c>
    </x:row>
    <x:row r="320" ht="55" customHeight="1">
      <x:c r="A320" s="12" t="str">
        <x:v>L0319</x:v>
      </x:c>
      <x:c r="B320" s="12" t="str">
        <x:v>2026-05</x:v>
      </x:c>
      <x:c r="C320" s="12" t="str">
        <x:v>NetShort</x:v>
      </x:c>
      <x:c r="D320" s="12" t="str">
        <x:v>2026-05-19_CORRECTED</x:v>
      </x:c>
      <x:c r="E320" s="12" t="str">
        <x:v>Trend</x:v>
      </x:c>
      <x:c r="F320" s="12" t="str">
        <x:v>5/19 corrected add</x:v>
      </x:c>
      <x:c r="G320" s="12" t="str">
        <x:v>Dog Suit Affair: How to Train a Side Chick</x:v>
      </x:c>
      <x:c r="H320" s="12" t="str">
        <x:v>Dog Suit Affair: How to Train a Side Chick</x:v>
      </x:c>
      <x:c r="I320" s="12" t="str">
        <x:v>Live-action/format not flagged</x:v>
      </x:c>
      <x:c r="J320" s="12" t="str">
        <x:v>Live-action family ethics; AIGC not flagged</x:v>
      </x:c>
      <x:c r="K320" s="12" t="str">
        <x:v>Female / Family ethics</x:v>
      </x:c>
      <x:c r="L320" s="12" t="str">
        <x:v>Family Drama / Family Ethics / Mistress disguise / Pregnant wife</x:v>
      </x:c>
      <x:c r="M320" s="12" t="str">
        <x:v>Pregnant wife + mistress dog disguise + mother-in-law knowledge</x:v>
      </x:c>
      <x:c r="N320" s="12" t="str">
        <x:v>남편의 ‘개’가 내연녀라는 충격 훅을 무료부에 배치하고 시어머니의 공모/폭로는 유료부로 이월</x:v>
      </x:c>
      <x:c r="O320" s="12" t="str">
        <x:v>Low: 실사 막장/윤리극. AIGC 후보 아님.</x:v>
      </x:c>
      <x:c r="P320" s="12" t="str">
        <x:v>임신한 아내는 남편이 사랑하는 개가 사실 내연녀 변장임을 모른다. 그러나 시어머니는 알고 있다.</x:v>
      </x:c>
      <x:c r="Q320" s="12" t="str">
        <x:v>Official NetShort page verified in 2026-05-19 correction pass.</x:v>
      </x:c>
      <x:c r="R320" s="12" t="str">
        <x:v>Current NetShort all-plots/hotseries/recent episode signal; exact app ranking needs in-app check.</x:v>
      </x:c>
      <x:c r="S320" s="12" t="str">
        <x:v>A / Strong verified</x:v>
      </x:c>
      <x:c r="T320" s="12" t="n">
        <x:v>92</x:v>
      </x:c>
      <x:c r="U320" s="12" t="str">
        <x:v>A_Core</x:v>
      </x:c>
      <x:c r="V320" s="12" t="str">
        <x:v>ADD_CURRENT_ALL_PLOTS_TREND</x:v>
      </x:c>
      <x:c r="W320" s="12"/>
      <x:c r="X320" s="12" t="str">
        <x:v>최신 NetShort 트렌드 보강. AIGC 여부는 증거 기준으로 분리.</x:v>
      </x:c>
      <x:c r="Y320" s="12" t="str">
        <x:v>https://netshort.com/full-episodes/dog-suit-affair-how-to-train-a-side-chick-2053734062975090689
https://netshort.com/drama/all-plots</x:v>
      </x:c>
      <x:c r="Z320" s="12" t="str">
        <x:v>앱 내 Top-Rated/광고 소재/조회 반응 캡처로 score 조정.</x:v>
      </x:c>
    </x:row>
    <x:row r="321" ht="55" customHeight="1">
      <x:c r="A321" s="12" t="str">
        <x:v>L0320</x:v>
      </x:c>
      <x:c r="B321" s="12" t="str">
        <x:v>2026-05</x:v>
      </x:c>
      <x:c r="C321" s="12" t="str">
        <x:v>NetShort</x:v>
      </x:c>
      <x:c r="D321" s="12" t="str">
        <x:v>2026-05-19_CORRECTED</x:v>
      </x:c>
      <x:c r="E321" s="12" t="str">
        <x:v>Trend</x:v>
      </x:c>
      <x:c r="F321" s="12" t="str">
        <x:v>5/19 corrected add</x:v>
      </x:c>
      <x:c r="G321" s="12" t="str">
        <x:v>Mafia heiress's forbidden obsession</x:v>
      </x:c>
      <x:c r="H321" s="12" t="str">
        <x:v>Mafia heiress's forbidden obsession</x:v>
      </x:c>
      <x:c r="I321" s="12" t="str">
        <x:v>Live-action/format not flagged</x:v>
      </x:c>
      <x:c r="J321" s="12" t="str">
        <x:v>Live-action mafia romance; AIGC not flagged</x:v>
      </x:c>
      <x:c r="K321" s="12" t="str">
        <x:v>Female / Mafia romance</x:v>
      </x:c>
      <x:c r="L321" s="12" t="str">
        <x:v>Modern Romance / Mafia heiress / Forbidden obsession</x:v>
      </x:c>
      <x:c r="M321" s="12" t="str">
        <x:v>Young heiress inherits mafia + forbidden love</x:v>
      </x:c>
      <x:c r="N321" s="12" t="str">
        <x:v>마피아 보스 암살과 20세 딸의 계승을 무료부에 배치하고 금지된 사랑/조직 전쟁을 유료부로 이월</x:v>
      </x:c>
      <x:c r="O321" s="12" t="str">
        <x:v>Medium: 총격/조직 액션 보강. 제작 AIGC 후보 아님.</x:v>
      </x:c>
      <x:c r="P321" s="12" t="str">
        <x:v>마피아 보스가 암살당하자 20세 딸 글로리아가 조직을 이어받고 금지된 집착적 사랑에 빠진다.</x:v>
      </x:c>
      <x:c r="Q321" s="12" t="str">
        <x:v>Official NetShort page verified in 2026-05-19 correction pass.</x:v>
      </x:c>
      <x:c r="R321" s="12" t="str">
        <x:v>Current NetShort all-plots/hotseries/recent episode signal; exact app ranking needs in-app check.</x:v>
      </x:c>
      <x:c r="S321" s="12" t="str">
        <x:v>A / Strong verified</x:v>
      </x:c>
      <x:c r="T321" s="12" t="n">
        <x:v>92</x:v>
      </x:c>
      <x:c r="U321" s="12" t="str">
        <x:v>A_Core</x:v>
      </x:c>
      <x:c r="V321" s="12" t="str">
        <x:v>ADD_CURRENT_ALL_PLOTS_TREND</x:v>
      </x:c>
      <x:c r="W321" s="12"/>
      <x:c r="X321" s="12" t="str">
        <x:v>최신 NetShort 트렌드 보강. AIGC 여부는 증거 기준으로 분리.</x:v>
      </x:c>
      <x:c r="Y321" s="12" t="str">
        <x:v>https://netshort.com/full-episodes/mafia-heiresss-forbidden-obsession-2054395383885725697
https://netshort.com/drama/all-plots</x:v>
      </x:c>
      <x:c r="Z321" s="12" t="str">
        <x:v>앱 내 Top-Rated/광고 소재/조회 반응 캡처로 score 조정.</x:v>
      </x:c>
    </x:row>
    <x:row r="322" ht="55" customHeight="1">
      <x:c r="A322" s="12" t="str">
        <x:v>L0321</x:v>
      </x:c>
      <x:c r="B322" s="12" t="str">
        <x:v>2026-05</x:v>
      </x:c>
      <x:c r="C322" s="12" t="str">
        <x:v>NetShort</x:v>
      </x:c>
      <x:c r="D322" s="12" t="str">
        <x:v>2026-05-19_CORRECTED</x:v>
      </x:c>
      <x:c r="E322" s="12" t="str">
        <x:v>Trend</x:v>
      </x:c>
      <x:c r="F322" s="12" t="str">
        <x:v>5/19 corrected add</x:v>
      </x:c>
      <x:c r="G322" s="12" t="str">
        <x:v>Her Silence Held Her Hostage</x:v>
      </x:c>
      <x:c r="H322" s="12" t="str">
        <x:v>Her Silence Held Her Hostage</x:v>
      </x:c>
      <x:c r="I322" s="12" t="str">
        <x:v>Live-action/format not flagged</x:v>
      </x:c>
      <x:c r="J322" s="12" t="str">
        <x:v>Live-action thriller romance; AIGC not flagged</x:v>
      </x:c>
      <x:c r="K322" s="12" t="str">
        <x:v>Female / Thriller romance</x:v>
      </x:c>
      <x:c r="L322" s="12" t="str">
        <x:v>Modern Romance / Kidnap / Forced muteness / Hostage misunderstanding</x:v>
      </x:c>
      <x:c r="M322" s="12" t="str">
        <x:v>Mute heroine + kidnapping + false message to lover</x:v>
      </x:c>
      <x:c r="N322" s="12" t="str">
        <x:v>말을 빼앗긴 여주의 납치와 휴대폰 조작을 무료부에 배치하고 남주의 오해/구출은 유료부로 이월</x:v>
      </x:c>
      <x:c r="O322" s="12" t="str">
        <x:v>Low: 실사 스릴러/로맨스. AIGC 후보 아님.</x:v>
      </x:c>
      <x:c r="P322" s="12" t="str">
        <x:v>오랫동안 침묵을 강요받은 여성이 납치되고, 납치범은 그녀의 휴대폰으로 사랑하는 남자에게 거짓 메시지를 보낸다.</x:v>
      </x:c>
      <x:c r="Q322" s="12" t="str">
        <x:v>Official NetShort page verified in 2026-05-19 correction pass.</x:v>
      </x:c>
      <x:c r="R322" s="12" t="str">
        <x:v>Current NetShort all-plots/hotseries/recent episode signal; exact app ranking needs in-app check.</x:v>
      </x:c>
      <x:c r="S322" s="12" t="str">
        <x:v>A / Strong verified</x:v>
      </x:c>
      <x:c r="T322" s="12" t="n">
        <x:v>90</x:v>
      </x:c>
      <x:c r="U322" s="12" t="str">
        <x:v>B_Strong</x:v>
      </x:c>
      <x:c r="V322" s="12" t="str">
        <x:v>ADD_CURRENT_ALL_PLOTS_TREND</x:v>
      </x:c>
      <x:c r="W322" s="12"/>
      <x:c r="X322" s="12" t="str">
        <x:v>최신 NetShort 트렌드 보강. AIGC 여부는 증거 기준으로 분리.</x:v>
      </x:c>
      <x:c r="Y322" s="12" t="str">
        <x:v>https://netshort.com/full-episodes/her-silence-held-her-hostage-2053124993830617089</x:v>
      </x:c>
      <x:c r="Z322" s="12" t="str">
        <x:v>앱 내 Top-Rated/광고 소재/조회 반응 캡처로 score 조정.</x:v>
      </x:c>
    </x:row>
    <x:row r="323" ht="55" customHeight="1">
      <x:c r="A323" s="12" t="str">
        <x:v>L0322</x:v>
      </x:c>
      <x:c r="B323" s="12" t="str">
        <x:v>2026-05</x:v>
      </x:c>
      <x:c r="C323" s="12" t="str">
        <x:v>NetShort</x:v>
      </x:c>
      <x:c r="D323" s="12" t="str">
        <x:v>2026-05-19_CORRECTED</x:v>
      </x:c>
      <x:c r="E323" s="12" t="str">
        <x:v>Trend</x:v>
      </x:c>
      <x:c r="F323" s="12" t="str">
        <x:v>5/19 corrected add</x:v>
      </x:c>
      <x:c r="G323" s="12" t="str">
        <x:v>The Billionaire Dad I Never Knew</x:v>
      </x:c>
      <x:c r="H323" s="12" t="str">
        <x:v>The Billionaire Dad I Never Knew</x:v>
      </x:c>
      <x:c r="I323" s="12" t="str">
        <x:v>Live-action/format not flagged</x:v>
      </x:c>
      <x:c r="J323" s="12" t="str">
        <x:v>Live-action family regret; AIGC not flagged</x:v>
      </x:c>
      <x:c r="K323" s="12" t="str">
        <x:v>Family regret / Father-daughter</x:v>
      </x:c>
      <x:c r="L323" s="12" t="str">
        <x:v>Karma Payback / All-Too-Late / Billionaire dad / Daughter neglect</x:v>
      </x:c>
      <x:c r="M323" s="12" t="str">
        <x:v>Late fatherhood + child neglect + irreversible regret</x:v>
      </x:c>
      <x:c r="N323" s="12" t="str">
        <x:v>부자 아빠의 방치와 딸의 상처를 무료부에 배치하고 늦은 인정/이혼/후회는 유료부로 이월</x:v>
      </x:c>
      <x:c r="O323" s="12" t="str">
        <x:v>Low: 실사 가족 후회극. AIGC 후보 아님.</x:v>
      </x:c>
      <x:c r="P323" s="12" t="str">
        <x:v>오랜 헌신 끝에 여주가 부유한 남편이 딸보다 첫사랑을 우선시했다는 사실을 알게 되며 가족 후회극이 시작된다.</x:v>
      </x:c>
      <x:c r="Q323" s="12" t="str">
        <x:v>Official NetShort page verified in 2026-05-19 correction pass.</x:v>
      </x:c>
      <x:c r="R323" s="12" t="str">
        <x:v>Current NetShort all-plots/hotseries/recent episode signal; exact app ranking needs in-app check.</x:v>
      </x:c>
      <x:c r="S323" s="12" t="str">
        <x:v>A / Strong verified</x:v>
      </x:c>
      <x:c r="T323" s="12" t="n">
        <x:v>90</x:v>
      </x:c>
      <x:c r="U323" s="12" t="str">
        <x:v>B_Strong</x:v>
      </x:c>
      <x:c r="V323" s="12" t="str">
        <x:v>ADD_CURRENT_ALL_PLOTS_TREND</x:v>
      </x:c>
      <x:c r="W323" s="12"/>
      <x:c r="X323" s="12" t="str">
        <x:v>최신 NetShort 트렌드 보강. AIGC 여부는 증거 기준으로 분리.</x:v>
      </x:c>
      <x:c r="Y323" s="12" t="str">
        <x:v>https://netshort.com/full-episodes/the-billionaire-dad-i-never-knew-2000452042627629057
https://netshort.com/drama/all-plots</x:v>
      </x:c>
      <x:c r="Z323" s="12" t="str">
        <x:v>앱 내 Top-Rated/광고 소재/조회 반응 캡처로 score 조정.</x:v>
      </x:c>
    </x:row>
    <x:row r="324" ht="55" customHeight="1">
      <x:c r="A324" s="12" t="str">
        <x:v>L0323</x:v>
      </x:c>
      <x:c r="B324" s="12" t="str">
        <x:v>2026-05</x:v>
      </x:c>
      <x:c r="C324" s="12" t="str">
        <x:v>NetShort</x:v>
      </x:c>
      <x:c r="D324" s="12" t="str">
        <x:v>2026-05-19_CORRECTED</x:v>
      </x:c>
      <x:c r="E324" s="12" t="str">
        <x:v>Trend</x:v>
      </x:c>
      <x:c r="F324" s="12" t="str">
        <x:v>5/19 corrected add</x:v>
      </x:c>
      <x:c r="G324" s="12" t="str">
        <x:v>Bye, Cult! I AVENGED My Parents</x:v>
      </x:c>
      <x:c r="H324" s="12" t="str">
        <x:v>Bye, Cult! I AVENGED My Parents</x:v>
      </x:c>
      <x:c r="I324" s="12" t="str">
        <x:v>Live-action/format not flagged</x:v>
      </x:c>
      <x:c r="J324" s="12" t="str">
        <x:v>Live-action/martial revenge; AIGC not flagged</x:v>
      </x:c>
      <x:c r="K324" s="12" t="str">
        <x:v>Female / Martial revenge</x:v>
      </x:c>
      <x:c r="L324" s="12" t="str">
        <x:v>Revenge / Finding Relatives / Dojo / Deadly tower</x:v>
      </x:c>
      <x:c r="M324" s="12" t="str">
        <x:v>Family slaughter + years of training + tower revenge</x:v>
      </x:c>
      <x:c r="N324" s="12" t="str">
        <x:v>가족 몰살과 수년 수련의 귀환을 무료부에 배치하고 도장 격파/탑 진입은 유료부로 이월</x:v>
      </x:c>
      <x:c r="O324" s="12" t="str">
        <x:v>Medium: 무술 액션 보강 가능. 제작 AIGC 후보 아님.</x:v>
      </x:c>
      <x:c r="P324" s="12" t="str">
        <x:v>가족이 몰살당한 소녀가 수년간 수련해 돌아와 라이벌 도장을 격파하고 죽음의 탑에 오른다.</x:v>
      </x:c>
      <x:c r="Q324" s="12" t="str">
        <x:v>Official NetShort page verified in 2026-05-19 correction pass.</x:v>
      </x:c>
      <x:c r="R324" s="12" t="str">
        <x:v>Current NetShort all-plots/hotseries/recent episode signal; exact app ranking needs in-app check.</x:v>
      </x:c>
      <x:c r="S324" s="12" t="str">
        <x:v>B / Useful verified</x:v>
      </x:c>
      <x:c r="T324" s="12" t="n">
        <x:v>89</x:v>
      </x:c>
      <x:c r="U324" s="12" t="str">
        <x:v>B_Strong</x:v>
      </x:c>
      <x:c r="V324" s="12" t="str">
        <x:v>ADD_CURRENT_ALL_PLOTS_TREND</x:v>
      </x:c>
      <x:c r="W324" s="12"/>
      <x:c r="X324" s="12" t="str">
        <x:v>최신 NetShort 트렌드 보강. AIGC 여부는 증거 기준으로 분리.</x:v>
      </x:c>
      <x:c r="Y324" s="12" t="str">
        <x:v>https://netshort.com/full-episodes/bye-cult-i-avenged-my-parents-2054468341069119490
https://netshort.com/drama/all-plots</x:v>
      </x:c>
      <x:c r="Z324" s="12" t="str">
        <x:v>앱 내 Top-Rated/광고 소재/조회 반응 캡처로 score 조정.</x:v>
      </x:c>
    </x:row>
    <x:row r="325" ht="55" customHeight="1">
      <x:c r="A325" s="12" t="str">
        <x:v>L0324</x:v>
      </x:c>
      <x:c r="B325" s="12" t="str">
        <x:v>2026-05</x:v>
      </x:c>
      <x:c r="C325" s="12" t="str">
        <x:v>NetShort</x:v>
      </x:c>
      <x:c r="D325" s="12" t="str">
        <x:v>2026-05-19_CORRECTED</x:v>
      </x:c>
      <x:c r="E325" s="12" t="str">
        <x:v>Trend</x:v>
      </x:c>
      <x:c r="F325" s="12" t="str">
        <x:v>5/19 corrected add</x:v>
      </x:c>
      <x:c r="G325" s="12" t="str">
        <x:v>You Can Steal My Glory, but NOT HER!</x:v>
      </x:c>
      <x:c r="H325" s="12" t="str">
        <x:v>You Can Steal My Glory, but NOT HER!</x:v>
      </x:c>
      <x:c r="I325" s="12" t="str">
        <x:v>Live-action/format not flagged</x:v>
      </x:c>
      <x:c r="J325" s="12" t="str">
        <x:v>Live-action war romance; AIGC not flagged</x:v>
      </x:c>
      <x:c r="K325" s="12" t="str">
        <x:v>Male / War-god romance</x:v>
      </x:c>
      <x:c r="L325" s="12" t="str">
        <x:v>War God / Stolen glory / Bride protection / Brother betrayal</x:v>
      </x:c>
      <x:c r="M325" s="12" t="str">
        <x:v>Heroic general + younger brother steals glory + protect her</x:v>
      </x:c>
      <x:c r="N325" s="12" t="str">
        <x:v>전공을 빼앗긴 무패 장군과 사랑만큼은 빼앗기지 않겠다는 선언을 무료부에 배치</x:v>
      </x:c>
      <x:c r="O325" s="12" t="str">
        <x:v>Medium: 전쟁/무협 액션 보강 가능. 제작 AIGC 후보 아님.</x:v>
      </x:c>
      <x:c r="P325" s="12" t="str">
        <x:v>무패의 전쟁신인 형의 전공을 동생이 훔치지만, 사랑하는 여인만큼은 빼앗길 수 없다는 복수/보호극.</x:v>
      </x:c>
      <x:c r="Q325" s="12" t="str">
        <x:v>Official NetShort page verified in 2026-05-19 correction pass.</x:v>
      </x:c>
      <x:c r="R325" s="12" t="str">
        <x:v>Current NetShort all-plots/hotseries/recent episode signal; exact app ranking needs in-app check.</x:v>
      </x:c>
      <x:c r="S325" s="12" t="str">
        <x:v>A / Strong verified</x:v>
      </x:c>
      <x:c r="T325" s="12" t="n">
        <x:v>91</x:v>
      </x:c>
      <x:c r="U325" s="12" t="str">
        <x:v>A_Core</x:v>
      </x:c>
      <x:c r="V325" s="12" t="str">
        <x:v>ADD_CURRENT_HOTSERIES_TREND</x:v>
      </x:c>
      <x:c r="W325" s="12"/>
      <x:c r="X325" s="12" t="str">
        <x:v>최신 NetShort 트렌드 보강. AIGC 여부는 증거 기준으로 분리.</x:v>
      </x:c>
      <x:c r="Y325" s="12" t="str">
        <x:v>https://netshort.com/hotseries/you-can-steal-my-glory-but-not-her-2053113584212246530</x:v>
      </x:c>
      <x:c r="Z325" s="12" t="str">
        <x:v>앱 내 Top-Rated/광고 소재/조회 반응 캡처로 score 조정.</x:v>
      </x:c>
    </x:row>
  </x:sheetData>
  <x:conditionalFormatting sqref="T2:T28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U2:U288">
    <x:cfRule type="expression" dxfId="0" priority="2">
      <x:formula>$U2="A_Core"</x:formula>
    </x:cfRule>
    <x:cfRule type="expression" dxfId="1" priority="3">
      <x:formula>$U2="D_Verify"</x:formula>
    </x:cfRule>
  </x:conditionalFormatting>
  <x:conditionalFormatting sqref="V2:V288">
    <x:cfRule type="expression" dxfId="2" priority="4">
      <x:formula>ISNUMBER(SEARCH("REPLACE",$V2))</x:formula>
    </x:cfRule>
  </x:conditionalFormatting>
  <x:conditionalFormatting sqref="D2:D288">
    <x:cfRule type="expression" dxfId="3" priority="5">
      <x:formula>$D2="Supplement_DOCX"</x:formula>
    </x:cfRule>
    <x:cfRule type="expression" dxfId="4" priority="6">
      <x:formula>$D2="Base+Supplement_DOCX"</x:formula>
    </x:cfRule>
  </x:conditionalFormatting>
  <x:dataValidations count="6">
    <x:dataValidation type="list" sqref="C2:C288">
      <x:formula1>"ReelShort,DramaBox,GoodShort,NetShort,DramaWave"</x:formula1>
    </x:dataValidation>
    <x:dataValidation type="list" sqref="D2:D288">
      <x:formula1>"Base_XLSX,Base+Supplement_DOCX,Supplement_DOCX"</x:formula1>
    </x:dataValidation>
    <x:dataValidation type="list" sqref="J2:J288">
      <x:formula1>"Not flagged,AIGC-friendly genre,AIGC/Animation candidate,AI-theme only,Direct/Explicit AI"</x:formula1>
    </x:dataValidation>
    <x:dataValidation type="list" sqref="S2:S288">
      <x:formula1>"A / Strong verified,B / Useful verified,C / Watch,D / Needs verification"</x:formula1>
    </x:dataValidation>
    <x:dataValidation type="list" sqref="U2:U288">
      <x:formula1>"A_Core,B_Strong,C_Watch,D_Verify"</x:formula1>
    </x:dataValidation>
    <x:dataValidation type="list" sqref="V2:V288">
      <x:formula1>"KEEP,MERGE_REINFORCE,POSSIBLE_REPLACE_BY_SUPPLEMENT,WATCH_REPLACE,ADD_AS_PARALLEL_REFERENCE,ADD_AS_MONTH_REPEAT_OR_REALIGN,ADD_AND_OPTIONALLY_REPLACE_WEAK_SLOT"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f937841ca64c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2" hidden="0" customWidth="1"/>
    <x:col min="5" max="5" width="28" hidden="0" customWidth="1"/>
    <x:col min="6" max="6" width="30" hidden="0" customWidth="1"/>
    <x:col min="7" max="7" width="52" hidden="0" customWidth="1"/>
    <x:col min="8" max="8" width="46" hidden="0" customWidth="1"/>
    <x:col min="9" max="9" width="46" hidden="0" customWidth="1"/>
    <x:col min="10" max="10" width="12" hidden="0" customWidth="1"/>
    <x:col min="11" max="11" width="42" hidden="0" customWidth="1"/>
    <x:col min="12" max="12" width="46" hidden="0" customWidth="1"/>
    <x:col min="13" max="13" width="48" hidden="0" customWidth="1"/>
  </x:cols>
  <x:sheetData>
    <x:row r="1">
      <x:c r="A1" s="6" t="str">
        <x:v>month</x:v>
      </x:c>
      <x:c r="B1" s="6" t="str">
        <x:v>platform</x:v>
      </x:c>
      <x:c r="C1" s="6" t="str">
        <x:v>supplement_title</x:v>
      </x:c>
      <x:c r="D1" s="6" t="str">
        <x:v>match_status</x:v>
      </x:c>
      <x:c r="E1" s="6" t="str">
        <x:v>decision</x:v>
      </x:c>
      <x:c r="F1" s="6" t="str">
        <x:v>replace_target_or_existing</x:v>
      </x:c>
      <x:c r="G1" s="6" t="str">
        <x:v>current_xlsx_same_slot</x:v>
      </x:c>
      <x:c r="H1" s="6" t="str">
        <x:v>supplement_logline_tags</x:v>
      </x:c>
      <x:c r="I1" s="6" t="str">
        <x:v>supplement_performance</x:v>
      </x:c>
      <x:c r="J1" s="6" t="str">
        <x:v>supplement_score</x:v>
      </x:c>
      <x:c r="K1" s="6" t="str">
        <x:v>reason</x:v>
      </x:c>
      <x:c r="L1" s="6" t="str">
        <x:v>recommendation</x:v>
      </x:c>
      <x:c r="M1" s="6" t="str">
        <x:v>source_urls</x:v>
      </x:c>
    </x:row>
    <x:row r="2">
      <x:c r="A2" s="12" t="str">
        <x:v>2025-06</x:v>
      </x:c>
      <x:c r="B2" s="12" t="str">
        <x:v>ReelShort</x:v>
      </x:c>
      <x:c r="C2" s="12" t="str">
        <x:v>Love Given Wrong</x:v>
      </x:c>
      <x:c r="D2" s="12" t="str">
        <x:v>NEW_SUPPLEMENT</x:v>
      </x:c>
      <x:c r="E2" s="12" t="str">
        <x:v>ADD as supplemental reference</x:v>
      </x:c>
      <x:c r="F2" s="12" t="str"/>
      <x:c r="G2" s="12" t="str">
        <x:v>1. What My Poor Ex-Wife Is My Boss (Medium); 2. Rejecting My Lycan Mate (Medium); 3. She Said Yes They Said Oops (Medium)</x:v>
      </x:c>
      <x:c r="H2" s="12" t="str">
        <x:v>제시가 감옥과 가정 파탄을 거친 뒤 딸과 사랑을 되찾으려는 가족 멜로. 태그: 가족, 억울한 수감, 부녀 재회.</x:v>
      </x:c>
      <x:c r="I2" s="12" t="str">
        <x:v>공개 커뮤니티 인용은 약하지만 ReelShort 검색에는 관련 토픽이 283건 노출된다. 추정 성과는 “중간 이상 검색형 장기작”.</x:v>
      </x:c>
      <x:c r="J2" s="20" t="n">
        <x:v>73</x:v>
      </x:c>
      <x:c r="K2" s="12" t="str">
        <x:v>현행 슬롯도 강하거나 보강자료의 정량성이 낮아 직접 교체 근거는 부족.</x:v>
      </x:c>
      <x:c r="L2" s="12" t="str">
        <x:v>별도 참고 행으로 보존하고 추가 검증 후 승격.</x:v>
      </x:c>
      <x:c r="M2" s="12" t="str">
        <x:v>https://www.reelshort.com/fandom/love-given-wrong-chinese-drama-dailymotion-8-aug/
https://www.reelshort.com/search?keywords=Love+Given+Wrong&amp;page=23&amp;type=topics</x:v>
      </x:c>
    </x:row>
    <x:row r="3">
      <x:c r="A3" s="12" t="str">
        <x:v>2025-07</x:v>
      </x:c>
      <x:c r="B3" s="12" t="str">
        <x:v>ReelShort</x:v>
      </x:c>
      <x:c r="C3" s="12" t="str">
        <x:v>Fated to My Homeless Billionaire Alpha</x:v>
      </x:c>
      <x:c r="D3" s="12" t="str">
        <x:v>NEW_SUPPLEMENT</x:v>
      </x:c>
      <x:c r="E3" s="12" t="str">
        <x:v>ADD + optional replace weak slot</x:v>
      </x:c>
      <x:c r="F3" s="12" t="str">
        <x:v>Vampire Seduction / rank 3 / Low</x:v>
      </x:c>
      <x:c r="G3" s="12" t="str">
        <x:v>1. Fated To My Forbidden Alpha (High); 2. Accidental Surrogate for the Alpha (High); 3. Vampire Seduction (Low)</x:v>
      </x:c>
      <x:c r="H3" s="12" t="str">
        <x:v>약혼자의 외도 직후, 엘라라가 노숙자로 위장한 억만장자 알파와 충동 결혼하는 운명 로맨스. 태그: 알파, 배신, 충동결혼, 재벌.</x:v>
      </x:c>
      <x:c r="I3" s="12" t="str">
        <x:v>ReelShort가 작품 페이지 계열에서 46M·380.5k를 노출했다. 시청자 커뮤니티는 무료 링크를 찾는 재유통 수요가 보였고, 장기 검색성이 강했다.</x:v>
      </x:c>
      <x:c r="J3" s="20" t="n">
        <x:v>85</x:v>
      </x:c>
      <x:c r="K3" s="12" t="str">
        <x:v>현행 동월 슬롯 중 낮은 근거 행이 있으며, 보강자료 후보가 기획/성과 신호를 보강함.</x:v>
      </x:c>
      <x:c r="L3" s="12" t="str">
        <x:v>라이브러리에는 추가. TOP 슬롯 quota가 필요하면 target 행을 우선 교체 검토.</x:v>
      </x:c>
      <x:c r="M3" s="12" t="str">
        <x:v>https://www.reelshort.com/fandom/fated-to-my-homeless-billionaire-alpha-dailymotion-01-8/
https://www.reelshort.com/tags/story-beats/kekasih-takdir-movies-676d210f4582b53a14081afc/3</x:v>
      </x:c>
    </x:row>
    <x:row r="4">
      <x:c r="A4" s="12" t="str">
        <x:v>2025-08</x:v>
      </x:c>
      <x:c r="B4" s="12" t="str">
        <x:v>ReelShort</x:v>
      </x:c>
      <x:c r="C4" s="12" t="str">
        <x:v>Escorting the Ruthless Billionaire Doctor</x:v>
      </x:c>
      <x:c r="D4" s="12" t="str">
        <x:v>NEW_SUPPLEMENT</x:v>
      </x:c>
      <x:c r="E4" s="12" t="str">
        <x:v>ADD + optional replace weak slot</x:v>
      </x:c>
      <x:c r="F4" s="12" t="str">
        <x:v>Queen Mom Rules / rank 3 / Medium</x:v>
      </x:c>
      <x:c r="G4" s="12" t="str">
        <x:v>1. The Hidden Billionaire in First Class (High); 2. The Year in His Chains (Medium); 3. Queen Mom Rules (Medium)</x:v>
      </x:c>
      <x:c r="H4" s="12" t="str">
        <x:v>아버지를 살리려는 가난한 대학생 비올렛이 냉혹한 억만장자 의사와 얽히는 구원형 멜로. 태그: 병원, 구원, 재벌, 가난한 여주.</x:v>
      </x:c>
      <x:c r="I4" s="12" t="str">
        <x:v>공식 공개근거는 강하지만 타이틀별 공개 수치는 미상. 추정 성과는 “클래식 구원형 멜로 슬롯”에 적합.</x:v>
      </x:c>
      <x:c r="J4" s="20" t="n">
        <x:v>81</x:v>
      </x:c>
      <x:c r="K4" s="12" t="str">
        <x:v>현행 동월 슬롯 중 낮은 근거 행이 있으며, 보강자료 후보가 기획/성과 신호를 보강함.</x:v>
      </x:c>
      <x:c r="L4" s="12" t="str">
        <x:v>라이브러리에는 추가. TOP 슬롯 quota가 필요하면 target 행을 우선 교체 검토.</x:v>
      </x:c>
      <x:c r="M4" s="12" t="str">
        <x:v>https://www.reelshort.com/fandom/escorting-the-ruthless-billionaire-doctor-cast-01-2/</x:v>
      </x:c>
    </x:row>
    <x:row r="5">
      <x:c r="A5" s="12" t="str">
        <x:v>2025-09</x:v>
      </x:c>
      <x:c r="B5" s="12" t="str">
        <x:v>ReelShort</x:v>
      </x:c>
      <x:c r="C5" s="12" t="str">
        <x:v>Was the Heiress Switched at Birth</x:v>
      </x:c>
      <x:c r="D5" s="12" t="str">
        <x:v>MATCH_SAME_MONTH</x:v>
      </x:c>
      <x:c r="E5" s="12" t="str">
        <x:v>MERGE / reinforce existing row</x:v>
      </x:c>
      <x:c r="F5" s="12" t="str">
        <x:v>Was the Heiress Switched at Birth?</x:v>
      </x:c>
      <x:c r="G5" s="12" t="str">
        <x:v>1. Carrying His Triplets, Becoming His Wifey (Medium); 2. Her Double, His Trouble (Medium); 3. Was the Heiress Switched at Birth? (Low)</x:v>
      </x:c>
      <x:c r="H5" s="12" t="str">
        <x:v>진짜 상속녀 교체와 여성 우정, 가족 비밀을 섞은 상속/복수극. 태그: heiress, switched-at-birth, family secret.</x:v>
      </x:c>
      <x:c r="I5" s="12" t="str">
        <x:v>2025-09-26 공개가 공식 팬덤 글에서 명시됐다. 정량 성과는 미상이나, “가장 기대된 작품”으로 소개됐다.</x:v>
      </x:c>
      <x:c r="J5" s="20" t="n">
        <x:v>81</x:v>
      </x:c>
      <x:c r="K5" s="12" t="str">
        <x:v>기존 행과 같은 월·플랫폼·타이틀이 일치. 보강자료의 성과/소스만 병합.</x:v>
      </x:c>
      <x:c r="L5" s="12" t="str">
        <x:v>삭제·교체 불필요. source_urls와 performance_signal 보강.</x:v>
      </x:c>
      <x:c r="M5" s="12" t="str">
        <x:v>https://www.reelshort.com/fandom/was-the-heiress-switched-at-birth-cast-01-2-20d2d25f0c26/</x:v>
      </x:c>
    </x:row>
    <x:row r="6">
      <x:c r="A6" s="12" t="str">
        <x:v>2025-10</x:v>
      </x:c>
      <x:c r="B6" s="12" t="str">
        <x:v>ReelShort</x:v>
      </x:c>
      <x:c r="C6" s="12" t="str">
        <x:v>Taming My Bullies</x:v>
      </x:c>
      <x:c r="D6" s="12" t="str">
        <x:v>NEW_SUPPLEMENT</x:v>
      </x:c>
      <x:c r="E6" s="12" t="str">
        <x:v>ADD + optional replace weak slot</x:v>
      </x:c>
      <x:c r="F6" s="12" t="str">
        <x:v>I Had A Baby Without You / rank 2 / Low</x:v>
      </x:c>
      <x:c r="G6" s="12" t="str">
        <x:v>1. The Beggar King Returns (High); 2. I Had A Baby Without You (Low); 3. Tell Me Not to Love You (Medium)</x:v>
      </x:c>
      <x:c r="H6" s="12" t="str">
        <x:v>새 학교로 전학 온 엠마가 부유층 4인방과 정면충돌하며 로맨스/복수가 교차하는 학원극. 태그: campus, enemies-to-lovers, bullying, choice romance.</x:v>
      </x:c>
      <x:c r="I6" s="12" t="str">
        <x:v>Reddit에선 “I’m hooked!”라는 반응이 보였고, 배우/공식 SNS에서는 #100millionclub, 686 comments가 노출됐다. 추정 성과는 “캠퍼스·불량귀공자형 대중 히트”.</x:v>
      </x:c>
      <x:c r="J6" s="20" t="n">
        <x:v>93</x:v>
      </x:c>
      <x:c r="K6" s="12" t="str">
        <x:v>현행 동월 슬롯 중 낮은 근거 행이 있으며, 보강자료 후보가 기획/성과 신호를 보강함.</x:v>
      </x:c>
      <x:c r="L6" s="12" t="str">
        <x:v>라이브러리에는 추가. TOP 슬롯 quota가 필요하면 target 행을 우선 교체 검토.</x:v>
      </x:c>
      <x:c r="M6" s="12" t="str">
        <x:v>https://app.reelshort.com/app-video-share/68dadaea23e33857e70a78f9
https://www.reddit.com/user/ReelShort-CMS/</x:v>
      </x:c>
    </x:row>
    <x:row r="7">
      <x:c r="A7" s="12" t="str">
        <x:v>2025-11</x:v>
      </x:c>
      <x:c r="B7" s="12" t="str">
        <x:v>ReelShort</x:v>
      </x:c>
      <x:c r="C7" s="12" t="str">
        <x:v>Step Aside, I’m the King of Capital</x:v>
      </x:c>
      <x:c r="D7" s="12" t="str">
        <x:v>NEW_SUPPLEMENT</x:v>
      </x:c>
      <x:c r="E7" s="12" t="str">
        <x:v>ADD + optional replace weak slot</x:v>
      </x:c>
      <x:c r="F7" s="12" t="str">
        <x:v>Operation Christmas Trap / rank 2 / Low</x:v>
      </x:c>
      <x:c r="G7" s="12" t="str">
        <x:v>1. Tell Me Not to Love You (Medium); 2. Operation Christmas Trap (Low); 3. Never Divorce a Secret Billionaire Heiress (Medium)</x:v>
      </x:c>
      <x:c r="H7" s="12" t="str">
        <x:v>출소 직후 정체를 숨긴 남자가 상류층 세계로 복귀하는 빈자→왕좌 역습물. 태그: poor-to-rich, secret billionaire, comeback fantasy.</x:v>
      </x:c>
      <x:c r="I7" s="12" t="str">
        <x:v>ReelShort 검색 계열에 161.6M이 직접 노출됐다. 추정 성과는 남성향 역습물 중 상위권.</x:v>
      </x:c>
      <x:c r="J7" s="20" t="n">
        <x:v>85</x:v>
      </x:c>
      <x:c r="K7" s="12" t="str">
        <x:v>현행 동월 슬롯 중 낮은 근거 행이 있으며, 보강자료 후보가 기획/성과 신호를 보강함.</x:v>
      </x:c>
      <x:c r="L7" s="12" t="str">
        <x:v>라이브러리에는 추가. TOP 슬롯 quota가 필요하면 target 행을 우선 교체 검토.</x:v>
      </x:c>
      <x:c r="M7" s="12" t="str">
        <x:v>https://www.reelshort.com/full-episodes/step-aside-i-m-the-king-of-capital-690306d7afd90472c800cf3a
https://www.reelshort.com/search?keywords=step+aside+im+the+king+of+capital+freya&amp;uniqueid=cab5608b831a</x:v>
      </x:c>
    </x:row>
    <x:row r="8">
      <x:c r="A8" s="12" t="str">
        <x:v>2025-12</x:v>
      </x:c>
      <x:c r="B8" s="12" t="str">
        <x:v>ReelShort</x:v>
      </x:c>
      <x:c r="C8" s="12" t="str">
        <x:v>Operation Christmas Trap</x:v>
      </x:c>
      <x:c r="D8" s="12" t="str">
        <x:v>MATCH_OTHER_MONTH</x:v>
      </x:c>
      <x:c r="E8" s="12" t="str">
        <x:v>ADD as repeated/realigned month</x:v>
      </x:c>
      <x:c r="F8" s="12" t="str">
        <x:v>2025-11 rank2</x:v>
      </x:c>
      <x:c r="G8" s="12" t="str">
        <x:v>1. Rented a Billionaire Husband for Christmas (Medium); 2. King of Guns (Medium); 3. The Prince's First Love (Low)</x:v>
      </x:c>
      <x:c r="H8" s="12" t="str">
        <x:v>쌍둥이 딸들이 부모를 다시 붙이려는 크리스마스 시즌 재회극. 태그: holiday, twins, second chance, family healing.</x:v>
      </x:c>
      <x:c r="I8" s="12" t="str">
        <x:v>2025-12-01 공개가 명시됐고 68 episodes로 길게 운용됐다. 정량 조회는 미상이나, 연말 시즌 슬롯으로 매우 쓰기 좋은 구조다.</x:v>
      </x:c>
      <x:c r="J8" s="20" t="n">
        <x:v>73</x:v>
      </x:c>
      <x:c r="K8" s="12" t="str">
        <x:v>기존 시트에 존재하지만 월이 다름. 론칭월/집행월/장기 노출월이 엇갈릴 수 있음.</x:v>
      </x:c>
      <x:c r="L8" s="12" t="str">
        <x:v>강제 교체보다 월 반복 편성 또는 month_note로 관리.</x:v>
      </x:c>
      <x:c r="M8" s="12" t="str">
        <x:v>https://www.reelshort.com/fandom/operation-christmas-trap-cast-01-2-0bdc90598b6f/</x:v>
      </x:c>
    </x:row>
    <x:row r="9">
      <x:c r="A9" s="12" t="str">
        <x:v>2026-01</x:v>
      </x:c>
      <x:c r="B9" s="12" t="str">
        <x:v>ReelShort</x:v>
      </x:c>
      <x:c r="C9" s="12" t="str">
        <x:v>Your Husband Is Mine</x:v>
      </x:c>
      <x:c r="D9" s="12" t="str">
        <x:v>NEW_SUPPLEMENT</x:v>
      </x:c>
      <x:c r="E9" s="12" t="str">
        <x:v>ADD + optional replace weak slot</x:v>
      </x:c>
      <x:c r="F9" s="12" t="str">
        <x:v>I’m Done Being Your Simp / rank 3 / High</x:v>
      </x:c>
      <x:c r="G9" s="12" t="str">
        <x:v>1. The Last Time I Forgive (English-dubbed) (High); 2. Fated Mate of the Nine-Tailed Fox (High); 3. I’m Done Being Your Simp (High)</x:v>
      </x:c>
      <x:c r="H9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9" s="12" t="str">
        <x:v>① ReelShort가 76.6M·742.6k를 노출한 대형 타이틀이다. ② 2026-01-29 런칭이 명시됐고 60화 완결 구조다.</x:v>
      </x:c>
      <x:c r="J9" s="20" t="n">
        <x:v>85</x:v>
      </x:c>
      <x:c r="K9" s="12" t="str">
        <x:v>현행 동월 슬롯 중 낮은 근거 행이 있으며, 보강자료 후보가 기획/성과 신호를 보강함.</x:v>
      </x:c>
      <x:c r="L9" s="12" t="str">
        <x:v>라이브러리에는 추가. TOP 슬롯 quota가 필요하면 target 행을 우선 교체 검토.</x:v>
      </x:c>
      <x:c r="M9" s="12" t="str">
        <x:v>https://www.reelshort.com/search?keywords=your+husband+is+mine+movie&amp;uniqueid=c2a177b07a8c
https://www.reelshort.com/search?keywords=Your+Husband+Is+Mine+cast&amp;uniqueid=c2a177b07a8c</x:v>
      </x:c>
    </x:row>
    <x:row r="10">
      <x:c r="A10" s="12" t="str">
        <x:v>2026-01</x:v>
      </x:c>
      <x:c r="B10" s="12" t="str">
        <x:v>ReelShort</x:v>
      </x:c>
      <x:c r="C10" s="12" t="str">
        <x:v>Sisterhood of Lies: Pledge for Revenge</x:v>
      </x:c>
      <x:c r="D10" s="12" t="str">
        <x:v>NEW_SUPPLEMENT</x:v>
      </x:c>
      <x:c r="E10" s="12" t="str">
        <x:v>ADD + optional replace weak slot</x:v>
      </x:c>
      <x:c r="F10" s="12" t="str">
        <x:v>I’m Done Being Your Simp / rank 3 / High</x:v>
      </x:c>
      <x:c r="G10" s="12" t="str">
        <x:v>1. The Last Time I Forgive (English-dubbed) (High); 2. Fated Mate of the Nine-Tailed Fox (High); 3. I’m Done Being Your Simp (High)</x:v>
      </x:c>
      <x:c r="H10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10" s="12" t="str">
        <x:v>① ReelShort가 76.6M·742.6k를 노출한 대형 타이틀이다. ② 2026-01-29 런칭이 명시됐고 60화 완결 구조다.</x:v>
      </x:c>
      <x:c r="J10" s="20" t="n">
        <x:v>85</x:v>
      </x:c>
      <x:c r="K10" s="12" t="str">
        <x:v>현행 동월 슬롯 중 낮은 근거 행이 있으며, 보강자료 후보가 기획/성과 신호를 보강함.</x:v>
      </x:c>
      <x:c r="L10" s="12" t="str">
        <x:v>라이브러리에는 추가. TOP 슬롯 quota가 필요하면 target 행을 우선 교체 검토.</x:v>
      </x:c>
      <x:c r="M10" s="12" t="str">
        <x:v>https://www.reelshort.com/search?keywords=your+husband+is+mine+movie&amp;uniqueid=c2a177b07a8c
https://www.reelshort.com/search?keywords=Your+Husband+Is+Mine+cast&amp;uniqueid=c2a177b07a8c</x:v>
      </x:c>
    </x:row>
    <x:row r="11">
      <x:c r="A11" s="12" t="str">
        <x:v>2026-02</x:v>
      </x:c>
      <x:c r="B11" s="12" t="str">
        <x:v>ReelShort</x:v>
      </x:c>
      <x:c r="C11" s="12" t="str">
        <x:v>Ms. CEO’s Baby Daddy Is the Merchant of Death</x:v>
      </x:c>
      <x:c r="D11" s="12" t="str">
        <x:v>NEW_SUPPLEMENT</x:v>
      </x:c>
      <x:c r="E11" s="12" t="str">
        <x:v>ADD + optional replace weak slot</x:v>
      </x:c>
      <x:c r="F11" s="12" t="str">
        <x:v>Don’t Miss Me When I’m Gone / rank 5 / Medium</x:v>
      </x:c>
      <x:c r="G11" s="12" t="str">
        <x:v>1. CEO's Baby Daddy Is the Merchant of Death (Medium); 2. The Alpha King and His Virgin Bride (Medium); 3. Move Aside! I’m the Final Boss (Medium); 4. Baby, Just Say Yes (Medium); 5. Don’t Miss Me When I’m Gone (Medium)</x:v>
      </x:c>
      <x:c r="H11" s="12" t="str">
        <x:v>세계 최강 무기상이 언더커버 도중 CEO 샬럿과 아이를 얻게 되면서 정체를 숨긴 채 가족을 지키는 액션 로맨스. 태그: action-romance, secret identity, kid, arms dealer.</x:v>
      </x:c>
      <x:c r="I11" s="12" t="str">
        <x:v>Reddit 대표 반응은 “I’m loving it”이었고, 공식 유튜브 플레이리스트는 959,855 views, 별도 영상은 109K views를 노출했다. 추정 성과는 “액션+육아 혼합형 고반응작”.</x:v>
      </x:c>
      <x:c r="J11" s="20" t="n">
        <x:v>93</x:v>
      </x:c>
      <x:c r="K11" s="12" t="str">
        <x:v>현행 동월 슬롯 중 낮은 근거 행이 있으며, 보강자료 후보가 기획/성과 신호를 보강함.</x:v>
      </x:c>
      <x:c r="L11" s="12" t="str">
        <x:v>라이브러리에는 추가. TOP 슬롯 quota가 필요하면 target 행을 우선 교체 검토.</x:v>
      </x:c>
      <x:c r="M11" s="12" t="str">
        <x:v>https://www.reelshort.com/search?keywords=Ms.+CEO%27s+Baby+Daddy+Is+the+Merchant+of+Death+reddit&amp;uniqueid=87e4a9c3288b
https://www.reddit.com/user/Latter_Rutabaga_9087/</x:v>
      </x:c>
    </x:row>
    <x:row r="12">
      <x:c r="A12" s="12" t="str">
        <x:v>2026-03</x:v>
      </x:c>
      <x:c r="B12" s="12" t="str">
        <x:v>ReelShort</x:v>
      </x:c>
      <x:c r="C12" s="12" t="str">
        <x:v>The Cooking Queen: A Recipe for Divorce</x:v>
      </x:c>
      <x:c r="D12" s="12" t="str">
        <x:v>NEW_SUPPLEMENT</x:v>
      </x:c>
      <x:c r="E12" s="12" t="str">
        <x:v>ADD + optional replace weak slot</x:v>
      </x:c>
      <x:c r="F12" s="12" t="str">
        <x:v>The Magnificent Bodyguard / rank 5 / Low</x:v>
      </x:c>
      <x:c r="G12" s="12" t="str">
        <x:v>1. Family by Love or by Blood (Medium); 2. Vicious (Medium); 3. To Save His Daughter He Must Become A Killer (Low); 4. Scandalous (Low); 5. The Magnificent Bodyguard (Low)</x:v>
      </x:c>
      <x:c r="H12" s="12" t="str">
        <x:v>남편의 성공을 위해 은퇴했던 요리 여왕 티파니가 이혼과 재기, 새 사랑을 동시에 요리하는 멜로 복수극. 태그: second chance, divorce, food, billionaire romance.</x:v>
      </x:c>
      <x:c r="I12" s="12" t="str">
        <x:v>Facebook 댓글엔 “This movie is very good and captivating. I have watched it many times”가 남았고, ReelShort 검색에선 53.6M 또는 별칭 기준 56M이 노출됐다.</x:v>
      </x:c>
      <x:c r="J12" s="20" t="n">
        <x:v>85</x:v>
      </x:c>
      <x:c r="K12" s="12" t="str">
        <x:v>현행 동월 슬롯 중 낮은 근거 행이 있으며, 보강자료 후보가 기획/성과 신호를 보강함.</x:v>
      </x:c>
      <x:c r="L12" s="12" t="str">
        <x:v>라이브러리에는 추가. TOP 슬롯 quota가 필요하면 target 행을 우선 교체 검토.</x:v>
      </x:c>
      <x:c r="M12" s="12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</x:row>
    <x:row r="13">
      <x:c r="A13" s="12" t="str">
        <x:v>2026-04</x:v>
      </x:c>
      <x:c r="B13" s="12" t="str">
        <x:v>ReelShort</x:v>
      </x:c>
      <x:c r="C13" s="12" t="str">
        <x:v>My Secret Lover Is His Brother</x:v>
      </x:c>
      <x:c r="D13" s="12" t="str">
        <x:v>NEW_SUPPLEMENT</x:v>
      </x:c>
      <x:c r="E13" s="12" t="str">
        <x:v>ADD + optional replace weak slot</x:v>
      </x:c>
      <x:c r="F13" s="12" t="str">
        <x:v>All’s Fairway in Love at the Country Club / rank 5 / Low</x:v>
      </x:c>
      <x:c r="G13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3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3" s="12" t="str">
        <x:v>두 작품 모두 2026-04 공개 흔적이 명확하다. 정량 지표는 미상이나, ReelShort가 각각 74화·74화로 장편 운용했다.</x:v>
      </x:c>
      <x:c r="J13" s="20" t="n">
        <x:v>73</x:v>
      </x:c>
      <x:c r="K13" s="12" t="str">
        <x:v>현행 동월 슬롯 중 낮은 근거 행이 있으며, 보강자료 후보가 기획/성과 신호를 보강함.</x:v>
      </x:c>
      <x:c r="L13" s="12" t="str">
        <x:v>라이브러리에는 추가. TOP 슬롯 quota가 필요하면 target 행을 우선 교체 검토.</x:v>
      </x:c>
      <x:c r="M13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4">
      <x:c r="A14" s="12" t="str">
        <x:v>2026-04</x:v>
      </x:c>
      <x:c r="B14" s="12" t="str">
        <x:v>ReelShort</x:v>
      </x:c>
      <x:c r="C14" s="12" t="str">
        <x:v>Silicon God Strikes Back</x:v>
      </x:c>
      <x:c r="D14" s="12" t="str">
        <x:v>NEW_SUPPLEMENT</x:v>
      </x:c>
      <x:c r="E14" s="12" t="str">
        <x:v>ADD + optional replace weak slot</x:v>
      </x:c>
      <x:c r="F14" s="12" t="str">
        <x:v>All’s Fairway in Love at the Country Club / rank 5 / Low</x:v>
      </x:c>
      <x:c r="G14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4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4" s="12" t="str">
        <x:v>두 작품 모두 2026-04 공개 흔적이 명확하다. 정량 지표는 미상이나, ReelShort가 각각 74화·74화로 장편 운용했다.</x:v>
      </x:c>
      <x:c r="J14" s="20" t="n">
        <x:v>73</x:v>
      </x:c>
      <x:c r="K14" s="12" t="str">
        <x:v>현행 동월 슬롯 중 낮은 근거 행이 있으며, 보강자료 후보가 기획/성과 신호를 보강함.</x:v>
      </x:c>
      <x:c r="L14" s="12" t="str">
        <x:v>라이브러리에는 추가. TOP 슬롯 quota가 필요하면 target 행을 우선 교체 검토.</x:v>
      </x:c>
      <x:c r="M14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5">
      <x:c r="A15" s="12" t="str">
        <x:v>2026-05</x:v>
      </x:c>
      <x:c r="B15" s="12" t="str">
        <x:v>ReelShort</x:v>
      </x:c>
      <x:c r="C15" s="12" t="str">
        <x:v>Love Under Fire</x:v>
      </x:c>
      <x:c r="D15" s="12" t="str">
        <x:v>MATCH_SAME_MONTH</x:v>
      </x:c>
      <x:c r="E15" s="12" t="str">
        <x:v>MERGE / reinforce existing row</x:v>
      </x:c>
      <x:c r="F15" s="12" t="str">
        <x:v>Love Under Fire</x:v>
      </x:c>
      <x:c r="G15" s="12" t="str">
        <x:v>1. End of the World, Start of My Empire (Medium); 2. Kneel Or Die: My Demons, My Rules (Medium); 3. Runaway Single Mom Safe In His Arms (Medium); 4. Love Under Fire (Medium); 5. Bite to the Top (High)</x:v>
      </x:c>
      <x:c r="H15" s="12" t="str">
        <x:v>전직 비밀경호원이 딸 납치 사건 때문에 무모한 팝스타와 손잡는 액션 로맨스. 태그: bodyguard, kidnapping, pop-star, mission romance.</x:v>
      </x:c>
      <x:c r="I15" s="12" t="str">
        <x:v>커뮤니티에서는 “영국에서 링크를 구할 수 없냐”는 요청형 대화가 바로 생겼고, ReelShort 검색계열엔 406.4k·12k가 노출됐다. 추정 성과는 론칭 초반 관심형.</x:v>
      </x:c>
      <x:c r="J15" s="20" t="n">
        <x:v>85</x:v>
      </x:c>
      <x:c r="K15" s="12" t="str">
        <x:v>기존 행과 같은 월·플랫폼·타이틀이 일치. 보강자료의 성과/소스만 병합.</x:v>
      </x:c>
      <x:c r="L15" s="12" t="str">
        <x:v>삭제·교체 불필요. source_urls와 performance_signal 보강.</x:v>
      </x:c>
      <x:c r="M15" s="12" t="str">
        <x:v>https://www.reelshort.com/fandom/love-under-fire-cast-01-2-93fb5cb97a73/
https://www.reddit.com/r/ReelShorts/comments/1ss4460/love_under_fire/</x:v>
      </x:c>
    </x:row>
    <x:row r="16">
      <x:c r="A16" s="12" t="str">
        <x:v>2025-06</x:v>
      </x:c>
      <x:c r="B16" s="12" t="str">
        <x:v>DramaBox</x:v>
      </x:c>
      <x:c r="C16" s="12" t="str">
        <x:v>Honey, Guess Who’s the REAL BOSS</x:v>
      </x:c>
      <x:c r="D16" s="12" t="str">
        <x:v>NEW_SUPPLEMENT</x:v>
      </x:c>
      <x:c r="E16" s="12" t="str">
        <x:v>ADD + optional replace weak slot</x:v>
      </x:c>
      <x:c r="F16" s="12" t="str">
        <x:v>Bound by a Family Alliance / I Wish It Were You / rank 3 / Low</x:v>
      </x:c>
      <x:c r="G16" s="12" t="str">
        <x:v>1. Divorced at the Wedding Day (High); 2. I Wish It Were You (Medium); 3. Bound by a Family Alliance / I Wish It Were You (Low)</x:v>
      </x:c>
      <x:c r="H16" s="12" t="str">
        <x:v>공식 홈 기준 대표 must-see. 태그: Romance, Billionaire, Strong Female Lead. 스토리 상세는 공개 검색 스니펫상 미상.</x:v>
      </x:c>
      <x:c r="I16" s="12" t="str">
        <x:v>공식 월별 타이틀 성과는 미상. 다만 플랫폼 홈 최상단 must-see에 오른 점은 “메인 카탈로그 코어”라는 의미가 있다.</x:v>
      </x:c>
      <x:c r="J16" s="20" t="n">
        <x:v>81</x:v>
      </x:c>
      <x:c r="K16" s="12" t="str">
        <x:v>현행 동월 슬롯 중 낮은 근거 행이 있으며, 보강자료 후보가 기획/성과 신호를 보강함.</x:v>
      </x:c>
      <x:c r="L16" s="12" t="str">
        <x:v>라이브러리에는 추가. TOP 슬롯 quota가 필요하면 target 행을 우선 교체 검토.</x:v>
      </x:c>
      <x:c r="M16" s="12" t="str">
        <x:v>https://www.dramabox.com/</x:v>
      </x:c>
    </x:row>
    <x:row r="17">
      <x:c r="A17" s="12" t="str">
        <x:v>2025-07</x:v>
      </x:c>
      <x:c r="B17" s="12" t="str">
        <x:v>DramaBox</x:v>
      </x:c>
      <x:c r="C17" s="12" t="str">
        <x:v>Reborn To Love Alpha King</x:v>
      </x:c>
      <x:c r="D17" s="12" t="str">
        <x:v>NEW_SUPPLEMENT</x:v>
      </x:c>
      <x:c r="E17" s="12" t="str">
        <x:v>ADD + optional replace weak slot</x:v>
      </x:c>
      <x:c r="F17" s="12" t="str">
        <x:v>Don't Miss Me When I'm Gone / rank 3 / Low</x:v>
      </x:c>
      <x:c r="G17" s="12" t="str">
        <x:v>1. Unwanted True Mate (Medium); 2. Second Chance With Mafia Lover (Medium); 3. Don't Miss Me When I'm Gone (Low)</x:v>
      </x:c>
      <x:c r="H17" s="12" t="str">
        <x:v>공식 홈 기준 대표 werewolf 멜로. 태그: Romance, Werewolf, Revenge, Sweet Love. 상세 스토리는 검색 스니펫상 미상.</x:v>
      </x:c>
      <x:c r="I17" s="12" t="str">
        <x:v>성과 수치 미상. 다만 DramaBox가 실사 로맨스 외에도 알파/복수 축을 병행한다는 신호로 유효하다.</x:v>
      </x:c>
      <x:c r="J17" s="20" t="n">
        <x:v>73</x:v>
      </x:c>
      <x:c r="K17" s="12" t="str">
        <x:v>현행 동월 슬롯 중 낮은 근거 행이 있으며, 보강자료 후보가 기획/성과 신호를 보강함.</x:v>
      </x:c>
      <x:c r="L17" s="12" t="str">
        <x:v>라이브러리에는 추가. TOP 슬롯 quota가 필요하면 target 행을 우선 교체 검토.</x:v>
      </x:c>
      <x:c r="M17" s="12" t="str">
        <x:v>https://www.dramabox.com/</x:v>
      </x:c>
    </x:row>
    <x:row r="18">
      <x:c r="A18" s="12" t="str">
        <x:v>2025-08</x:v>
      </x:c>
      <x:c r="B18" s="12" t="str">
        <x:v>DramaBox</x:v>
      </x:c>
      <x:c r="C18" s="12" t="str">
        <x:v>Summer Honeymoon with My Secret Billionaire</x:v>
      </x:c>
      <x:c r="D18" s="12" t="str">
        <x:v>NEW_SUPPLEMENT</x:v>
      </x:c>
      <x:c r="E18" s="12" t="str">
        <x:v>ADD + optional replace weak slot</x:v>
      </x:c>
      <x:c r="F18" s="12" t="str">
        <x:v>Forever After, Never Again / rank 3 / Low</x:v>
      </x:c>
      <x:c r="G18" s="12" t="str">
        <x:v>1. Miss You After Goodbye (Medium); 2. Mafia's Good Girl (Medium); 3. Forever After, Never Again (Low)</x:v>
      </x:c>
      <x:c r="H18" s="12" t="str">
        <x:v>버림받은 신부 엘리가 “청소부” 다니엘과 허니문 결혼을 하는데, 그가 사실은 억만장자 섬 소유주라는 플래시 결혼극. 태그: romance, billionaire, CEO, flash marriage.</x:v>
      </x:c>
      <x:c r="I18" s="12" t="str">
        <x:v>배우 계정에선 “3 million views in 24 hours, #2 on New Releases”라고 홍보됐고, Business Insider는 이 작품을 DramaBox의 대표 인기작 중 하나로 꼽았다.</x:v>
      </x:c>
      <x:c r="J18" s="20" t="n">
        <x:v>93</x:v>
      </x:c>
      <x:c r="K18" s="12" t="str">
        <x:v>현행 동월 슬롯 중 낮은 근거 행이 있으며, 보강자료 후보가 기획/성과 신호를 보강함.</x:v>
      </x:c>
      <x:c r="L18" s="12" t="str">
        <x:v>라이브러리에는 추가. TOP 슬롯 quota가 필요하면 target 행을 우선 교체 검토.</x:v>
      </x:c>
      <x:c r="M18" s="12" t="str">
        <x:v>https://www.dramabox.com/ko/video/41000119524_Summer-Honeymoon-with-My-Secret-Billionaire/597963604_Episode-1
https://www.instagram.com/p/DNQzzxNOn6p/</x:v>
      </x:c>
    </x:row>
    <x:row r="19">
      <x:c r="A19" s="12" t="str">
        <x:v>2025-09</x:v>
      </x:c>
      <x:c r="B19" s="12" t="str">
        <x:v>DramaBox</x:v>
      </x:c>
      <x:c r="C19" s="12" t="str">
        <x:v>Summer Honeymoon with My Secret Billionaire</x:v>
      </x:c>
      <x:c r="D19" s="12" t="str">
        <x:v>NEW_SUPPLEMENT</x:v>
      </x:c>
      <x:c r="E19" s="12" t="str">
        <x:v>ADD + optional replace weak slot</x:v>
      </x:c>
      <x:c r="F19" s="12" t="str">
        <x:v>Divorced, Now a Lycan Princess / rank 3 / High</x:v>
      </x:c>
      <x:c r="G19" s="12" t="str">
        <x:v>1. Love Is a Game, I Play for Power (High); 2. Knocked Up by the Silver Fox Alpha (High); 3. Divorced, Now a Lycan Princess (High)</x:v>
      </x:c>
      <x:c r="H19" s="12" t="str">
        <x:v>8월 론칭 후 9월까지 이어갈 만한 장기 체류형 작품이다. 로그라인과 태그는 동일.</x:v>
      </x:c>
      <x:c r="I19" s="12" t="str">
        <x:v>“수백만 뷰를 끌어낸 작품”이라는 외부 기사 언급과 24시간 300만 뷰 광고 문구를 감안하면, 9월에도 지속 집행 가치가 높다.</x:v>
      </x:c>
      <x:c r="J19" s="20" t="n">
        <x:v>85</x:v>
      </x:c>
      <x:c r="K19" s="12" t="str">
        <x:v>현행 동월 슬롯 중 낮은 근거 행이 있으며, 보강자료 후보가 기획/성과 신호를 보강함.</x:v>
      </x:c>
      <x:c r="L19" s="12" t="str">
        <x:v>라이브러리에는 추가. TOP 슬롯 quota가 필요하면 target 행을 우선 교체 검토.</x:v>
      </x:c>
      <x:c r="M19" s="12" t="str">
        <x:v>https://www.dramabox.com/name/12284-Shayne-Davis
https://www.businessinsider.com/dramabox-strategy-to-dominate-us-micro-dramas-creators-disney-2025-9</x:v>
      </x:c>
    </x:row>
    <x:row r="20">
      <x:c r="A20" s="12" t="str">
        <x:v>2025-10</x:v>
      </x:c>
      <x:c r="B20" s="12" t="str">
        <x:v>DramaBox</x:v>
      </x:c>
      <x:c r="C20" s="12" t="str">
        <x:v>Three Chances, Then Goodbye</x:v>
      </x:c>
      <x:c r="D20" s="12" t="str">
        <x:v>NEW_SUPPLEMENT</x:v>
      </x:c>
      <x:c r="E20" s="12" t="str">
        <x:v>ADD + optional replace weak slot</x:v>
      </x:c>
      <x:c r="F20" s="12" t="str">
        <x:v>악녀로 빙의중! / rank 3 / Medium</x:v>
      </x:c>
      <x:c r="G20" s="12" t="str">
        <x:v>1. Watch Out, I'm The Lady Boss (High); 2. They Love Me Too Late (High); 3. 악녀로 빙의중! (Medium)</x:v>
      </x:c>
      <x:c r="H20" s="12" t="str">
        <x:v>차갑기만 한 남편에게 세 번의 기회를 준 뒤 아들과 함께 떠나는 어머니의 가족후회물. 태그: CEO, divorce, child-centered regret.</x:v>
      </x:c>
      <x:c r="I20" s="12" t="str">
        <x:v>공식 Facebook 포스트는 이 작품 제목을 명시하며 7.5K reactions를 노출했다. 추정 성과는 “가족후회·모자분리” 훅의 대중형 강자.</x:v>
      </x:c>
      <x:c r="J20" s="20" t="n">
        <x:v>93</x:v>
      </x:c>
      <x:c r="K20" s="12" t="str">
        <x:v>현행 동월 슬롯 중 낮은 근거 행이 있으며, 보강자료 후보가 기획/성과 신호를 보강함.</x:v>
      </x:c>
      <x:c r="L20" s="12" t="str">
        <x:v>라이브러리에는 추가. TOP 슬롯 quota가 필요하면 target 행을 우선 교체 검토.</x:v>
      </x:c>
      <x:c r="M20" s="12" t="str">
        <x:v>https://www.dramabox.com/drama/41000113452/Three-Chances-Then-Goodbye
https://www.facebook.com/DramaBoxMoviesDrama/posts/a-mothers-last-gift-she-visits-her-son-in-the-city-never-expecting-that-he-would/122347958360084684/</x:v>
      </x:c>
    </x:row>
    <x:row r="21">
      <x:c r="A21" s="12" t="str">
        <x:v>2025-11</x:v>
      </x:c>
      <x:c r="B21" s="12" t="str">
        <x:v>DramaBox</x:v>
      </x:c>
      <x:c r="C21" s="12" t="str">
        <x:v>Three Chances, I’m Gone Forever</x:v>
      </x:c>
      <x:c r="D21" s="12" t="str">
        <x:v>NEW_SUPPLEMENT</x:v>
      </x:c>
      <x:c r="E21" s="12" t="str">
        <x:v>ADD + optional replace weak slot</x:v>
      </x:c>
      <x:c r="F21" s="12" t="str">
        <x:v>Taming of a Billionaire / rank 3 / Low</x:v>
      </x:c>
      <x:c r="G21" s="12" t="str">
        <x:v>1. The Return of the Amnesiac Heiress (Medium); 2. Badass Heiress Returns (Medium); 3. Taming of a Billionaire (Low)</x:v>
      </x:c>
      <x:c r="H21" s="12" t="str">
        <x:v>에르윈에게 단 세 번의 기회만 준 뒤, 여주가 억만장자 랜던과 함께 존엄과 권력을 되찾는 재혼 역습극. 태그: heartbreak, power reclaim, billionaire rescue.</x:v>
      </x:c>
      <x:c r="I21" s="12" t="str">
        <x:v>타이틀별 정량 지표는 미상이나, 같은 “three chances” 계열 감정 훅이 DramaBox에서 반복적으로 전면 배치된 점이 중요하다.</x:v>
      </x:c>
      <x:c r="J21" s="20" t="n">
        <x:v>73</x:v>
      </x:c>
      <x:c r="K21" s="12" t="str">
        <x:v>현행 동월 슬롯 중 낮은 근거 행이 있으며, 보강자료 후보가 기획/성과 신호를 보강함.</x:v>
      </x:c>
      <x:c r="L21" s="12" t="str">
        <x:v>라이브러리에는 추가. TOP 슬롯 quota가 필요하면 target 행을 우선 교체 검토.</x:v>
      </x:c>
      <x:c r="M21" s="12" t="str">
        <x:v>https://www.dramabox.com/drama/41000118844/Three-Chances-Im-Gone-Forever
https://www.dramabox.com/drama/41000113452/Three-Chances-Then-Goodbye</x:v>
      </x:c>
    </x:row>
    <x:row r="22">
      <x:c r="A22" s="12" t="str">
        <x:v>2025-12</x:v>
      </x:c>
      <x:c r="B22" s="12" t="str">
        <x:v>DramaBox</x:v>
      </x:c>
      <x:c r="C22" s="12" t="str">
        <x:v>His Love Was A Lie</x:v>
      </x:c>
      <x:c r="D22" s="12" t="str">
        <x:v>MATCH_SAME_MONTH</x:v>
      </x:c>
      <x:c r="E22" s="12" t="str">
        <x:v>MERGE / reinforce existing row</x:v>
      </x:c>
      <x:c r="F22" s="12" t="str">
        <x:v>His Love Was A Lie</x:v>
      </x:c>
      <x:c r="G22" s="12" t="str">
        <x:v>1. Flash Marriage to My Billionaire Hobo Hubby (High); 2. His Love Was A Lie (High); 3. Hunter in the Ring: Gloves Off, Blood On (DUBBED) (High)</x:v>
      </x:c>
      <x:c r="H22" s="12" t="str">
        <x:v>열정 없는 결혼 2년 끝에, 샬럿이 남편이 의붓누이를 사랑하고 자신을 가림막으로 썼다는 사실을 알게 되는 독한 이혼극. 태그: marriage, toxic relationship.</x:v>
      </x:c>
      <x:c r="I22" s="12" t="str">
        <x:v>Reddit에선 “I’m obsessed with it omg”, “God the end had me!” 같은 반응이 잡혔고, 공식 유튜브엔 57편 플레이리스트가 열렸다. Facebook 댓글에도 “starting off pretty good lol”이 확인된다.</x:v>
      </x:c>
      <x:c r="J22" s="20" t="n">
        <x:v>81</x:v>
      </x:c>
      <x:c r="K22" s="12" t="str">
        <x:v>기존 행과 같은 월·플랫폼·타이틀이 일치. 보강자료의 성과/소스만 병합.</x:v>
      </x:c>
      <x:c r="L22" s="12" t="str">
        <x:v>삭제·교체 불필요. source_urls와 performance_signal 보강.</x:v>
      </x:c>
      <x:c r="M22" s="12" t="str">
        <x:v>https://www.dramabox.com/drama/42000000606/His-Love-Was-A-Lie
https://www.reddit.com/r/ReelShorts/comments/1pcu1kb/his_love_was_a_lie/</x:v>
      </x:c>
    </x:row>
    <x:row r="23">
      <x:c r="A23" s="12" t="str">
        <x:v>2026-01</x:v>
      </x:c>
      <x:c r="B23" s="12" t="str">
        <x:v>DramaBox</x:v>
      </x:c>
      <x:c r="C23" s="12" t="str">
        <x:v>His Love Was A Lie</x:v>
      </x:c>
      <x:c r="D23" s="12" t="str">
        <x:v>MATCH_OTHER_MONTH</x:v>
      </x:c>
      <x:c r="E23" s="12" t="str">
        <x:v>ADD as repeated/realigned month</x:v>
      </x:c>
      <x:c r="F23" s="12" t="str">
        <x:v>2025-12 rank2; 2026-05 rank3</x:v>
      </x:c>
      <x:c r="G23" s="12" t="str">
        <x:v>1. If I Never Loved You (High); 2. Your Billionaire Bride Is My Cheating Wife (High); 3. After All This Time (Medium)</x:v>
      </x:c>
      <x:c r="H23" s="12" t="str">
        <x:v>스토리/태그 동일. 12월 론칭 후 1월까지 이어지는 장기 체류형 이혼·독성관계 메가 훅.</x:v>
      </x:c>
      <x:c r="I23" s="12" t="str">
        <x:v>커뮤니티에서 후속 링크 수요가 이어졌고, 공식/비공식 전개 설명 페이지가 빠르게 증식했다. 추정 성과는 “연속회차 결제 유도형 상위권”.</x:v>
      </x:c>
      <x:c r="J23" s="20" t="n">
        <x:v>81</x:v>
      </x:c>
      <x:c r="K23" s="12" t="str">
        <x:v>기존 시트에 존재하지만 월이 다름. 론칭월/집행월/장기 노출월이 엇갈릴 수 있음.</x:v>
      </x:c>
      <x:c r="L23" s="12" t="str">
        <x:v>강제 교체보다 월 반복 편성 또는 month_note로 관리.</x:v>
      </x:c>
      <x:c r="M23" s="12" t="str">
        <x:v>https://www.dramabox.com/drama/42000000606/His-Love-Was-A-Lie
https://www.reddit.com/r/ReelShorts/comments/1pcu1kb/his_love_was_a_lie/</x:v>
      </x:c>
    </x:row>
    <x:row r="24">
      <x:c r="A24" s="12" t="str">
        <x:v>2026-02</x:v>
      </x:c>
      <x:c r="B24" s="12" t="str">
        <x:v>DramaBox</x:v>
      </x:c>
      <x:c r="C24" s="12" t="str">
        <x:v>Three Chances, I’m Gone Forever</x:v>
      </x:c>
      <x:c r="D24" s="12" t="str">
        <x:v>NEW_SUPPLEMENT</x:v>
      </x:c>
      <x:c r="E24" s="12" t="str">
        <x:v>ADD as supplemental reference</x:v>
      </x:c>
      <x:c r="F24" s="12" t="str"/>
      <x:c r="G24" s="12" t="str">
        <x:v>1. The Day My Stepbrother Knows My Dirty Secret (High); 2. Craving My Brother’s Best Friend (High); 3. Fated to My Ruthless Alpha (High); 4. Your Loser Husband Is A Big Shot (High); 5. Queen Mom Rules (High)</x:v>
      </x:c>
      <x:c r="H24" s="12" t="str">
        <x:v>후회 남편 버리기+재혼 역습이라는 가장 검증된 감정 축. 태그: regret, dignity, billionaire comeback.</x:v>
      </x:c>
      <x:c r="I24" s="12" t="str">
        <x:v>정량치는 미상이지만, DramaBox 내 유사 감정구조가 반복 노출되는 점 때문에 “no-budget 라이브러리 기본 안전자산”으로 평가된다.</x:v>
      </x:c>
      <x:c r="J24" s="20" t="n">
        <x:v>73</x:v>
      </x:c>
      <x:c r="K24" s="12" t="str">
        <x:v>현행 슬롯도 강하거나 보강자료의 정량성이 낮아 직접 교체 근거는 부족.</x:v>
      </x:c>
      <x:c r="L24" s="12" t="str">
        <x:v>별도 참고 행으로 보존하고 추가 검증 후 승격.</x:v>
      </x:c>
      <x:c r="M24" s="12" t="str">
        <x:v>https://www.dramabox.com/drama/41000118844/Three-Chances-Im-Gone-Forever
https://www.dramabox.com/drama/41000113452/Three-Chances-Then-Goodbye</x:v>
      </x:c>
    </x:row>
    <x:row r="25">
      <x:c r="A25" s="12" t="str">
        <x:v>2026-03</x:v>
      </x:c>
      <x:c r="B25" s="12" t="str">
        <x:v>DramaBox</x:v>
      </x:c>
      <x:c r="C25" s="12" t="str">
        <x:v>I Went to the Mafia Boss for a Baby</x:v>
      </x:c>
      <x:c r="D25" s="12" t="str">
        <x:v>NEW_SUPPLEMENT</x:v>
      </x:c>
      <x:c r="E25" s="12" t="str">
        <x:v>ADD as supplemental reference</x:v>
      </x:c>
      <x:c r="F25" s="12" t="str"/>
      <x:c r="G25" s="12" t="str">
        <x:v>1. Fake Dating My Rich Nemesis (High); 2. Pucked by My Brother's Rival (High); 3. A Deal With My Billionaire Donor (Medium); 4. 30 Days to be the Mafia King's Bride (High); 5. Sex Education By My Best Friend (High)</x:v>
      </x:c>
      <x:c r="H25" s="12" t="str">
        <x:v>제목상 “아기를 원해 마피아 보스를 찾는” 하이콘셉트 멜로. 공식 검색 스니펫에서 상세 줄거리는 미상. 태그: mafia, baby mission.</x:v>
      </x:c>
      <x:c r="I25" s="12" t="str">
        <x:v>성과 지표 미상. 다만 2026년 봄 DramaBox 홈/추천 슬롯이 재벌·마피아·육아 훅 쪽으로 계속 유지된다는 점은 확인 가능하다.</x:v>
      </x:c>
      <x:c r="J25" s="20" t="n">
        <x:v>73</x:v>
      </x:c>
      <x:c r="K25" s="12" t="str">
        <x:v>현행 슬롯도 강하거나 보강자료의 정량성이 낮아 직접 교체 근거는 부족.</x:v>
      </x:c>
      <x:c r="L25" s="12" t="str">
        <x:v>별도 참고 행으로 보존하고 추가 검증 후 승격.</x:v>
      </x:c>
      <x:c r="M25" s="12" t="str">
        <x:v>https://www.dramabox.com/drama/42000007197/I-Went-to-the-Mafia-Boss-for-a-Baby</x:v>
      </x:c>
    </x:row>
    <x:row r="26">
      <x:c r="A26" s="12" t="str">
        <x:v>2026-04</x:v>
      </x:c>
      <x:c r="B26" s="12" t="str">
        <x:v>DramaBox</x:v>
      </x:c>
      <x:c r="C26" s="12" t="str">
        <x:v>Faking It with the Hockey Captain</x:v>
      </x:c>
      <x:c r="D26" s="12" t="str">
        <x:v>MATCH_SAME_MONTH</x:v>
      </x:c>
      <x:c r="E26" s="12" t="str">
        <x:v>MERGE / reinforce existing row</x:v>
      </x:c>
      <x:c r="F26" s="12" t="str">
        <x:v>Faking It with the Hockey Captain</x:v>
      </x:c>
      <x:c r="G26" s="12" t="str">
        <x:v>1. Faking It with the Hockey Captain (High); 2. From Mail-Order Bride To Billionaire's Wife (High); 3. I'm Nothing but a Mortal (DUBBED) (High); 4. Forever Was a Lie (High); 5. Wait! Our Great-Grandma is 18 Years Old? (High)</x:v>
      </x:c>
      <x:c r="H26" s="12" t="str">
        <x:v>장학금 학생 줄리가 뜨거운 원나잇 뒤 상대가 유년기 앙숙이자 새 하키 주장 리엄이라는 걸 알게 되며, 가짜 연애를 시작하는 스포츠 캠퍼스 로맨스. 태그: romance, enemies to lovers, fake dating, hockey.</x:v>
      </x:c>
      <x:c r="I26" s="12" t="str">
        <x:v>Reddit에는 링크를 달라는 댓글이 연속적으로 붙었고, 공식/관련 Facebook엔 8.9K views in 5 hours, Instagram엔 57 comments가 노출됐다.</x:v>
      </x:c>
      <x:c r="J26" s="20" t="n">
        <x:v>93</x:v>
      </x:c>
      <x:c r="K26" s="12" t="str">
        <x:v>기존 행과 같은 월·플랫폼·타이틀이 일치. 보강자료의 성과/소스만 병합.</x:v>
      </x:c>
      <x:c r="L26" s="12" t="str">
        <x:v>삭제·교체 불필요. source_urls와 performance_signal 보강.</x:v>
      </x:c>
      <x:c r="M26" s="12" t="str">
        <x:v>https://www.dramabox.com/drama/42000010167/Faking-It-with-the-Hockey-Captain
https://www.reddit.com/r/ReelShorts/comments/1t9r7nh/faking_it_with_the_hockey_captain/</x:v>
      </x:c>
    </x:row>
    <x:row r="27">
      <x:c r="A27" s="12" t="str">
        <x:v>2026-05</x:v>
      </x:c>
      <x:c r="B27" s="12" t="str">
        <x:v>DramaBox</x:v>
      </x:c>
      <x:c r="C27" s="12" t="str">
        <x:v>Faking It with the Hockey Captain</x:v>
      </x:c>
      <x:c r="D27" s="12" t="str">
        <x:v>MATCH_OTHER_MONTH</x:v>
      </x:c>
      <x:c r="E27" s="12" t="str">
        <x:v>ADD as repeated/realigned month</x:v>
      </x:c>
      <x:c r="F27" s="12" t="str">
        <x:v>2026-04 rank1</x:v>
      </x:c>
      <x:c r="G27" s="12" t="str">
        <x:v>1. The Day My Stepbrother Knows My Dirty Secret (High); 2. Craving My Brother’s Best Friend (High); 3. His Love Was A Lie (High); 4. Watch Out, I’m The Lady Boss (High); 5. Fated to My Ruthless Alpha (High)</x:v>
      </x:c>
      <x:c r="H27" s="12" t="str">
        <x:v>4월말~5월초 론칭 초반 러시가 강한 작품. 로그라인/태그 동일.</x:v>
      </x:c>
      <x:c r="I27" s="12" t="str">
        <x:v>Reddit DM 요청이 폭증하는 전형적인 “광고로 깨고 들어온” 초기 확산 패턴을 보였다. 5월 슬롯에서는 가장 즉각적 CTR형 카드다.</x:v>
      </x:c>
      <x:c r="J27" s="20" t="n">
        <x:v>73</x:v>
      </x:c>
      <x:c r="K27" s="12" t="str">
        <x:v>기존 시트에 존재하지만 월이 다름. 론칭월/집행월/장기 노출월이 엇갈릴 수 있음.</x:v>
      </x:c>
      <x:c r="L27" s="12" t="str">
        <x:v>강제 교체보다 월 반복 편성 또는 month_note로 관리.</x:v>
      </x:c>
      <x:c r="M27" s="12" t="str">
        <x:v>https://www.dramabox.com/drama/42000010167/Faking-It-with-the-Hockey-Captain
https://www.reddit.com/r/ReelShorts/comments/1t9r7nh/faking_it_with_the_hockey_captain/</x:v>
      </x:c>
    </x:row>
    <x:row r="28">
      <x:c r="A28" s="12" t="str">
        <x:v>2025-06</x:v>
      </x:c>
      <x:c r="B28" s="12" t="str">
        <x:v>GoodShort</x:v>
      </x:c>
      <x:c r="C28" s="12" t="str">
        <x:v>An Unreliable Guide on Dating Your CEO</x:v>
      </x:c>
      <x:c r="D28" s="12" t="str">
        <x:v>NEW_SUPPLEMENT</x:v>
      </x:c>
      <x:c r="E28" s="12" t="str">
        <x:v>ADD as supplemental reference</x:v>
      </x:c>
      <x:c r="F28" s="12" t="str"/>
      <x:c r="G28" s="12" t="str">
        <x:v>1. Perfect Love (High); 2. Love by Contract (High); 3. Sleeping Handsome (High)</x:v>
      </x:c>
      <x:c r="H28" s="12" t="str">
        <x:v>사기당해 빚만 남은 리사가 친구 대신 선 남자와 만나려다, 그가 자기 CEO라는 걸 알게 되며 이중생활 로맨스를 벌이는 작품. 태그: Sweet, Office Romance, CEO, Blind Date.</x:v>
      </x:c>
      <x:c r="I28" s="12" t="str">
        <x:v>장수 캐리형 오피스 멜로 슬롯. 공개 커뮤니티 반응 지표는 미상이나 2026년 추천 체인에 계속 남아 있다.</x:v>
      </x:c>
      <x:c r="J28" s="20" t="n">
        <x:v>73</x:v>
      </x:c>
      <x:c r="K28" s="12" t="str">
        <x:v>현행 슬롯도 강하거나 보강자료의 정량성이 낮아 직접 교체 근거는 부족.</x:v>
      </x:c>
      <x:c r="L28" s="12" t="str">
        <x:v>별도 참고 행으로 보존하고 추가 검증 후 승격.</x:v>
      </x:c>
      <x:c r="M28" s="12" t="str">
        <x:v>https://www.goodshort.com/drama/an-unreliable-guide-on-dating-your-ceo-31000786234</x:v>
      </x:c>
    </x:row>
    <x:row r="29">
      <x:c r="A29" s="12" t="str">
        <x:v>2025-07</x:v>
      </x:c>
      <x:c r="B29" s="12" t="str">
        <x:v>GoodShort</x:v>
      </x:c>
      <x:c r="C29" s="12" t="str">
        <x:v>Mistaken Encounter, Unexpected Love</x:v>
      </x:c>
      <x:c r="D29" s="12" t="str">
        <x:v>NEW_SUPPLEMENT</x:v>
      </x:c>
      <x:c r="E29" s="12" t="str">
        <x:v>ADD as supplemental reference</x:v>
      </x:c>
      <x:c r="F29" s="12" t="str"/>
      <x:c r="G29" s="12" t="str">
        <x:v>1. Married for Greencard, Stayed for Love (High); 2. The Queen's Triumph (Medium); 3. My Exclusive Wish Granter (Medium)</x:v>
      </x:c>
      <x:c r="H29" s="12" t="str">
        <x:v>배반과 실연을 겪은 두 여행자가 술김에 하룻밤을 보낸 뒤, 임신과 재회로 연결되는 운명 로맨스. 태그: Marriage, Destiny, CEO, Love Triangle.</x:v>
      </x:c>
      <x:c r="I29" s="12" t="str">
        <x:v>GoodShort 내 추천 체인에서 오래 살아남은 결혼/운명형 스테디셀러다. 정량치는 미상.</x:v>
      </x:c>
      <x:c r="J29" s="20" t="n">
        <x:v>73</x:v>
      </x:c>
      <x:c r="K29" s="12" t="str">
        <x:v>현행 슬롯도 강하거나 보강자료의 정량성이 낮아 직접 교체 근거는 부족.</x:v>
      </x:c>
      <x:c r="L29" s="12" t="str">
        <x:v>별도 참고 행으로 보존하고 추가 검증 후 승격.</x:v>
      </x:c>
      <x:c r="M29" s="12" t="str">
        <x:v>https://www.goodshort.com/drama/mistaken-encounter-unexpected-love-31000753863</x:v>
      </x:c>
    </x:row>
    <x:row r="30">
      <x:c r="A30" s="12" t="str">
        <x:v>2025-08</x:v>
      </x:c>
      <x:c r="B30" s="12" t="str">
        <x:v>GoodShort</x:v>
      </x:c>
      <x:c r="C30" s="12" t="str">
        <x:v>A Blind Date with my Mr. Meant-to-Be</x:v>
      </x:c>
      <x:c r="D30" s="12" t="str">
        <x:v>NEW_SUPPLEMENT</x:v>
      </x:c>
      <x:c r="E30" s="12" t="str">
        <x:v>ADD + optional replace weak slot</x:v>
      </x:c>
      <x:c r="F30" s="12" t="str">
        <x:v>Transcendence / rank 3 / Low</x:v>
      </x:c>
      <x:c r="G30" s="12" t="str">
        <x:v>1. Pengantin CEO Yang Bisu / Mute CEO Bride (High); 2. Destined to Love (Medium); 3. Transcendence (Low)</x:v>
      </x:c>
      <x:c r="H30" s="12" t="str">
        <x:v>딸을 잃은 싱글맘 제시카가 우연히 억만장자 제임스와 결혼하고, 그의 양녀가 사실 자신의 친딸이라는 걸 알게 되는 재회물. 태그: Little Cupids, Sweet, Destiny, Cute Kids.</x:v>
      </x:c>
      <x:c r="I30" s="12" t="str">
        <x:v>GoodShort 공식 수치가 22.7M views / 2.6M followers다. 2025-08-06 에피소드 인덱싱이 확인된다.</x:v>
      </x:c>
      <x:c r="J30" s="20" t="n">
        <x:v>93</x:v>
      </x:c>
      <x:c r="K30" s="12" t="str">
        <x:v>현행 동월 슬롯 중 낮은 근거 행이 있으며, 보강자료 후보가 기획/성과 신호를 보강함.</x:v>
      </x:c>
      <x:c r="L30" s="12" t="str">
        <x:v>라이브러리에는 추가. TOP 슬롯 quota가 필요하면 target 행을 우선 교체 검토.</x:v>
      </x:c>
      <x:c r="M30" s="12" t="str">
        <x:v>https://www.goodshort.com/drama/a-blind-date-with-my-mr-meant-to-be-31000991502</x:v>
      </x:c>
    </x:row>
    <x:row r="31">
      <x:c r="A31" s="12" t="str">
        <x:v>2025-09</x:v>
      </x:c>
      <x:c r="B31" s="12" t="str">
        <x:v>GoodShort</x:v>
      </x:c>
      <x:c r="C31" s="12" t="str">
        <x:v>Blood and Bones of the Disowned Daughter</x:v>
      </x:c>
      <x:c r="D31" s="12" t="str">
        <x:v>MATCH_SAME_MONTH</x:v>
      </x:c>
      <x:c r="E31" s="12" t="str">
        <x:v>MERGE / reinforce existing row</x:v>
      </x:c>
      <x:c r="F31" s="12" t="str">
        <x:v>Blood and Bones of the Disowned Daughter</x:v>
      </x:c>
      <x:c r="G31" s="12" t="str">
        <x:v>1. Blood and Bones of the Disowned Daughter (High); 2. Sneak Me in Your Closet, My Prince (High); 3. The Unwanted Mate (Low)</x:v>
      </x:c>
      <x:c r="H31" s="12" t="str">
        <x:v>진짜 상속녀가 드러난 뒤 누명을 쓰고 교정시설에 버려진 나탈리가 복수와 진실폭로를 동시에 거는 작품. 태그: Family, Heiress, Regret.</x:v>
      </x:c>
      <x:c r="I31" s="12" t="str">
        <x:v>공식 수치는 32.5M views / 4.9M followers. Reddit에선 “I liked the ending” 반응이 확인됐다.</x:v>
      </x:c>
      <x:c r="J31" s="20" t="n">
        <x:v>93</x:v>
      </x:c>
      <x:c r="K31" s="12" t="str">
        <x:v>기존 행과 같은 월·플랫폼·타이틀이 일치. 보강자료의 성과/소스만 병합.</x:v>
      </x:c>
      <x:c r="L31" s="12" t="str">
        <x:v>삭제·교체 불필요. source_urls와 performance_signal 보강.</x:v>
      </x:c>
      <x:c r="M31" s="12" t="str">
        <x:v>https://www.goodshort.com/drama/blood-and-bones-of-the-disowned-daughter-31001113972</x:v>
      </x:c>
    </x:row>
    <x:row r="32">
      <x:c r="A32" s="12" t="str">
        <x:v>2025-10</x:v>
      </x:c>
      <x:c r="B32" s="12" t="str">
        <x:v>GoodShort</x:v>
      </x:c>
      <x:c r="C32" s="12" t="str">
        <x:v>Straight Until He Kissed Me</x:v>
      </x:c>
      <x:c r="D32" s="12" t="str">
        <x:v>NEW_SUPPLEMENT</x:v>
      </x:c>
      <x:c r="E32" s="12" t="str">
        <x:v>ADD + optional replace weak slot</x:v>
      </x:c>
      <x:c r="F32" s="12" t="str">
        <x:v>I Accidentally Hired a Billionaire Husband / rank 3 / Low</x:v>
      </x:c>
      <x:c r="G32" s="12" t="str">
        <x:v>1. Blood and Bones of the Disowned Daughter (High); 2. Do Not Disturb: Lady Boss in Disguise! (Low); 3. I Accidentally Hired a Billionaire Husband (Low)</x:v>
      </x:c>
      <x:c r="H32" s="12" t="str">
        <x:v>의대생 마일스가 여자친구의 외도를 목격한 뒤 복수용 “가짜 불륜”을 연출하다 잘생긴 CEO 헌터와 진짜 감정에 빠지는 BL 로맨스. 태그: Gay, fake affair, CEO, kiss-flip.</x:v>
      </x:c>
      <x:c r="I32" s="12" t="str">
        <x:v>Reddit 대표 반응은 “I bought a subscription to watch the whole thing in one go and it was worth it.” BL/퀴어 확장 슬롯에서 강한 체감 흡입력을 보였다.</x:v>
      </x:c>
      <x:c r="J32" s="20" t="n">
        <x:v>81</x:v>
      </x:c>
      <x:c r="K32" s="12" t="str">
        <x:v>현행 동월 슬롯 중 낮은 근거 행이 있으며, 보강자료 후보가 기획/성과 신호를 보강함.</x:v>
      </x:c>
      <x:c r="L32" s="12" t="str">
        <x:v>라이브러리에는 추가. TOP 슬롯 quota가 필요하면 target 행을 우선 교체 검토.</x:v>
      </x:c>
      <x:c r="M32" s="12" t="str">
        <x:v>https://www.goodshort.com/drama/straight-until-he-kissed-me-31001108367
https://www.reddit.com/r/boyslove/comments/1ndlxhl/straight_until_he_kissed_me_goodshort/</x:v>
      </x:c>
    </x:row>
    <x:row r="33">
      <x:c r="A33" s="12" t="str">
        <x:v>2025-11</x:v>
      </x:c>
      <x:c r="B33" s="12" t="str">
        <x:v>GoodShort</x:v>
      </x:c>
      <x:c r="C33" s="12" t="str">
        <x:v>Blood and Bones of the Disowned Daughter</x:v>
      </x:c>
      <x:c r="D33" s="12" t="str">
        <x:v>MATCH_SAME_MONTH</x:v>
      </x:c>
      <x:c r="E33" s="12" t="str">
        <x:v>MERGE / reinforce existing row</x:v>
      </x:c>
      <x:c r="F33" s="12" t="str">
        <x:v>Blood and Bones of the Disowned Daughter</x:v>
      </x:c>
      <x:c r="G33" s="12" t="str">
        <x:v>1. Blood and Bones of the Disowned Daughter (High); 2. We Are Never Ever Getting Back Together (Low); 3. Fated to the Alpha (Low)</x:v>
      </x:c>
      <x:c r="H33" s="12" t="str">
        <x:v>9월 론칭 후 11월까지도 유지 가능한 long-tail 상속·가족후회형 카드. 로그라인/태그 동일.</x:v>
      </x:c>
      <x:c r="I33" s="12" t="str">
        <x:v>높은 공식 뷰·팔로워 덕분에 장기 체류 가정이 가장 합리적이다.</x:v>
      </x:c>
      <x:c r="J33" s="20" t="n">
        <x:v>81</x:v>
      </x:c>
      <x:c r="K33" s="12" t="str">
        <x:v>기존 행과 같은 월·플랫폼·타이틀이 일치. 보강자료의 성과/소스만 병합.</x:v>
      </x:c>
      <x:c r="L33" s="12" t="str">
        <x:v>삭제·교체 불필요. source_urls와 performance_signal 보강.</x:v>
      </x:c>
      <x:c r="M33" s="12" t="str">
        <x:v>https://www.goodshort.com/drama/blood-and-bones-of-the-disowned-daughter-31001113972</x:v>
      </x:c>
    </x:row>
    <x:row r="34">
      <x:c r="A34" s="12" t="str">
        <x:v>2025-12</x:v>
      </x:c>
      <x:c r="B34" s="12" t="str">
        <x:v>GoodShort</x:v>
      </x:c>
      <x:c r="C34" s="12" t="str">
        <x:v>Blood and Bones of the Disowned Daughter</x:v>
      </x:c>
      <x:c r="D34" s="12" t="str">
        <x:v>MATCH_SAME_MONTH</x:v>
      </x:c>
      <x:c r="E34" s="12" t="str">
        <x:v>MERGE / reinforce existing row</x:v>
      </x:c>
      <x:c r="F34" s="12" t="str">
        <x:v>Blood and Bones of the Disowned Daughter</x:v>
      </x:c>
      <x:c r="G34" s="12" t="str">
        <x:v>1. Blood and Bones of the Disowned Daughter (High); 2. Cousins by Name, Lovers in Secret (Low); 3. Bricklaying for Six Years, My Goddess Proposes to Me (Medium)</x:v>
      </x:c>
      <x:c r="H34" s="12" t="str">
        <x:v>연말에도 가장 안정적인 여성향 복수·상속물 중 하나로 유지 가능.</x:v>
      </x:c>
      <x:c r="I34" s="12" t="str">
        <x:v>조회·팔로워 절대값이 높아 연말 재집행용 라이브러리 카드로 유효하다.</x:v>
      </x:c>
      <x:c r="J34" s="20" t="n">
        <x:v>73</x:v>
      </x:c>
      <x:c r="K34" s="12" t="str">
        <x:v>기존 행과 같은 월·플랫폼·타이틀이 일치. 보강자료의 성과/소스만 병합.</x:v>
      </x:c>
      <x:c r="L34" s="12" t="str">
        <x:v>삭제·교체 불필요. source_urls와 performance_signal 보강.</x:v>
      </x:c>
      <x:c r="M34" s="12" t="str">
        <x:v>https://www.goodshort.com/drama/blood-and-bones-of-the-disowned-daughter-31001113972</x:v>
      </x:c>
    </x:row>
    <x:row r="35">
      <x:c r="A35" s="12" t="str">
        <x:v>2026-01</x:v>
      </x:c>
      <x:c r="B35" s="12" t="str">
        <x:v>GoodShort</x:v>
      </x:c>
      <x:c r="C35" s="12" t="str">
        <x:v>My Marriage Comes With Secrets</x:v>
      </x:c>
      <x:c r="D35" s="12" t="str">
        <x:v>NEW_SUPPLEMENT</x:v>
      </x:c>
      <x:c r="E35" s="12" t="str">
        <x:v>ADD as supplemental reference</x:v>
      </x:c>
      <x:c r="F35" s="12" t="str"/>
      <x:c r="G35" s="12" t="str">
        <x:v>1. Titan Era: Ten Divine Beasts Rise with Me (High); 2. He's Too Late for Her Mafia Majesty (High); 3. Bricklaying for Six Years, My Goddess Proposes to Me (High)</x:v>
      </x:c>
      <x:c r="H35" s="12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I35" s="12" t="str">
        <x:v>2026-01-08 공개가 잡힌다. 정량치는 미상이지만, “결혼부터 하고 사랑은 나중” 구조가 GoodShort 핵심 문법과 잘 맞는다.</x:v>
      </x:c>
      <x:c r="J35" s="20" t="n">
        <x:v>73</x:v>
      </x:c>
      <x:c r="K35" s="12" t="str">
        <x:v>현행 슬롯도 강하거나 보강자료의 정량성이 낮아 직접 교체 근거는 부족.</x:v>
      </x:c>
      <x:c r="L35" s="12" t="str">
        <x:v>별도 참고 행으로 보존하고 추가 검증 후 승격.</x:v>
      </x:c>
      <x:c r="M35" s="12" t="str">
        <x:v>https://www.goodshort.com/drama/my-marriage-comes-with-secrets-31001244320</x:v>
      </x:c>
    </x:row>
    <x:row r="36">
      <x:c r="A36" s="12" t="str">
        <x:v>2026-02</x:v>
      </x:c>
      <x:c r="B36" s="12" t="str">
        <x:v>GoodShort</x:v>
      </x:c>
      <x:c r="C36" s="12" t="str">
        <x:v>The Romance System in a Dead World</x:v>
      </x:c>
      <x:c r="D36" s="12" t="str">
        <x:v>NEW_SUPPLEMENT</x:v>
      </x:c>
      <x:c r="E36" s="12" t="str">
        <x:v>ADD + optional replace weak slot</x:v>
      </x:c>
      <x:c r="F36" s="12" t="str">
        <x:v>Blooming Under Your Love / rank 5 / Low</x:v>
      </x:c>
      <x:c r="G36" s="12" t="str">
        <x:v>1. "Ordinary" Life and "Poor" Husband (High); 2. Titan Era: Ten Divine Beasts Rise with Me [ENG DUB] (High); 3. He's Too Late for Her Mafia Majesty (Medium); 4. Cousins by Name, Lovers in Secret (Low); 5. Blooming Under Your Love (Low)</x:v>
      </x:c>
      <x:c r="H36" s="12" t="str">
        <x:v>멸망 세계에서 주인공이 남자 파티를 거느리고 전 약혼자와 집안을 내려다보는 시스템/포스트아포칼립스 역습물. 태그: Fantasy, system, apocalypse.</x:v>
      </x:c>
      <x:c r="I36" s="12" t="str">
        <x:v>2026-02-23 공개. 실사 멜로에서 한 단계 벗어난 ‘게임 시스템+여성향’ 변주 슬롯으로 유용하다.</x:v>
      </x:c>
      <x:c r="J36" s="20" t="n">
        <x:v>73</x:v>
      </x:c>
      <x:c r="K36" s="12" t="str">
        <x:v>현행 동월 슬롯 중 낮은 근거 행이 있으며, 보강자료 후보가 기획/성과 신호를 보강함.</x:v>
      </x:c>
      <x:c r="L36" s="12" t="str">
        <x:v>라이브러리에는 추가. TOP 슬롯 quota가 필요하면 target 행을 우선 교체 검토.</x:v>
      </x:c>
      <x:c r="M36" s="12" t="str">
        <x:v>https://www.goodshort.com/drama/eng-dub-the-romance-system-in-a-dead-world-31001305309</x:v>
      </x:c>
    </x:row>
    <x:row r="37">
      <x:c r="A37" s="12" t="str">
        <x:v>2026-03</x:v>
      </x:c>
      <x:c r="B37" s="12" t="str">
        <x:v>GoodShort</x:v>
      </x:c>
      <x:c r="C37" s="12" t="str">
        <x:v>Too Late, Alphas</x:v>
      </x:c>
      <x:c r="D37" s="12" t="str">
        <x:v>NEW_SUPPLEMENT</x:v>
      </x:c>
      <x:c r="E37" s="12" t="str">
        <x:v>ADD + optional replace weak slot</x:v>
      </x:c>
      <x:c r="F37" s="12" t="str">
        <x:v>My Exclusive Wish Granter / rank 5 / Medium</x:v>
      </x:c>
      <x:c r="G37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7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7" s="12" t="str">
        <x:v>① Reddit에선 이미 다중 플랫폼 시청/링크 대화가 붙었다. ② GoodShort 공식 Facebook이 2026-03-11 업로드로 밀었다. 두 작품 모두 3월의 핵심 여성향 후회·구원 슬롯.</x:v>
      </x:c>
      <x:c r="J37" s="20" t="n">
        <x:v>81</x:v>
      </x:c>
      <x:c r="K37" s="12" t="str">
        <x:v>현행 동월 슬롯 중 낮은 근거 행이 있으며, 보강자료 후보가 기획/성과 신호를 보강함.</x:v>
      </x:c>
      <x:c r="L37" s="12" t="str">
        <x:v>라이브러리에는 추가. TOP 슬롯 quota가 필요하면 target 행을 우선 교체 검토.</x:v>
      </x:c>
      <x:c r="M37" s="12" t="str">
        <x:v>https://www.goodshort.com/drama/too-late-alphas-31001322440
https://www.reddit.com/r/Vertical_Dramas/comments/1r61bj0/too_late_alphas/</x:v>
      </x:c>
    </x:row>
    <x:row r="38">
      <x:c r="A38" s="12" t="str">
        <x:v>2026-03</x:v>
      </x:c>
      <x:c r="B38" s="12" t="str">
        <x:v>GoodShort</x:v>
      </x:c>
      <x:c r="C38" s="12" t="str">
        <x:v>My New Daddy is a Five-Star General</x:v>
      </x:c>
      <x:c r="D38" s="12" t="str">
        <x:v>NEW_SUPPLEMENT</x:v>
      </x:c>
      <x:c r="E38" s="12" t="str">
        <x:v>ADD + optional replace weak slot</x:v>
      </x:c>
      <x:c r="F38" s="12" t="str">
        <x:v>My Exclusive Wish Granter / rank 5 / Medium</x:v>
      </x:c>
      <x:c r="G38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8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8" s="12" t="str">
        <x:v>① Reddit에선 이미 다중 플랫폼 시청/링크 대화가 붙었다. ② GoodShort 공식 Facebook이 2026-03-11 업로드로 밀었다. 두 작품 모두 3월의 핵심 여성향 후회·구원 슬롯.</x:v>
      </x:c>
      <x:c r="J38" s="20" t="n">
        <x:v>81</x:v>
      </x:c>
      <x:c r="K38" s="12" t="str">
        <x:v>현행 동월 슬롯 중 낮은 근거 행이 있으며, 보강자료 후보가 기획/성과 신호를 보강함.</x:v>
      </x:c>
      <x:c r="L38" s="12" t="str">
        <x:v>라이브러리에는 추가. TOP 슬롯 quota가 필요하면 target 행을 우선 교체 검토.</x:v>
      </x:c>
      <x:c r="M38" s="12" t="str">
        <x:v>https://www.goodshort.com/drama/too-late-alphas-31001322440
https://www.reddit.com/r/Vertical_Dramas/comments/1r61bj0/too_late_alphas/</x:v>
      </x:c>
    </x:row>
    <x:row r="39">
      <x:c r="A39" s="12" t="str">
        <x:v>2026-04</x:v>
      </x:c>
      <x:c r="B39" s="12" t="str">
        <x:v>GoodShort</x:v>
      </x:c>
      <x:c r="C39" s="12" t="str">
        <x:v>Found A Homeless Genius To Save My Company</x:v>
      </x:c>
      <x:c r="D39" s="12" t="str">
        <x:v>NEW_SUPPLEMENT</x:v>
      </x:c>
      <x:c r="E39" s="12" t="str">
        <x:v>ADD as supplemental reference</x:v>
      </x:c>
      <x:c r="F39" s="12" t="str"/>
      <x:c r="G39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39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39" s="12" t="str">
        <x:v>두 작품 모두 2026년 봄 홈 최상단에 배치된 current push다. 정량치는 미상이지만 대가족·아이 훅이 강하다.</x:v>
      </x:c>
      <x:c r="J39" s="20" t="n">
        <x:v>73</x:v>
      </x:c>
      <x:c r="K39" s="12" t="str">
        <x:v>현행 슬롯도 강하거나 보강자료의 정량성이 낮아 직접 교체 근거는 부족.</x:v>
      </x:c>
      <x:c r="L39" s="12" t="str">
        <x:v>별도 참고 행으로 보존하고 추가 검증 후 승격.</x:v>
      </x:c>
      <x:c r="M39" s="12" t="str">
        <x:v>https://www.goodshort.com/</x:v>
      </x:c>
    </x:row>
    <x:row r="40">
      <x:c r="A40" s="12" t="str">
        <x:v>2026-04</x:v>
      </x:c>
      <x:c r="B40" s="12" t="str">
        <x:v>GoodShort</x:v>
      </x:c>
      <x:c r="C40" s="12" t="str">
        <x:v>Mommy Hold On I Brought Daddy to Save You</x:v>
      </x:c>
      <x:c r="D40" s="12" t="str">
        <x:v>NEW_SUPPLEMENT</x:v>
      </x:c>
      <x:c r="E40" s="12" t="str">
        <x:v>ADD as supplemental reference</x:v>
      </x:c>
      <x:c r="F40" s="12" t="str"/>
      <x:c r="G40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40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40" s="12" t="str">
        <x:v>두 작품 모두 2026년 봄 홈 최상단에 배치된 current push다. 정량치는 미상이지만 대가족·아이 훅이 강하다.</x:v>
      </x:c>
      <x:c r="J40" s="20" t="n">
        <x:v>73</x:v>
      </x:c>
      <x:c r="K40" s="12" t="str">
        <x:v>현행 슬롯도 강하거나 보강자료의 정량성이 낮아 직접 교체 근거는 부족.</x:v>
      </x:c>
      <x:c r="L40" s="12" t="str">
        <x:v>별도 참고 행으로 보존하고 추가 검증 후 승격.</x:v>
      </x:c>
      <x:c r="M40" s="12" t="str">
        <x:v>https://www.goodshort.com/</x:v>
      </x:c>
    </x:row>
    <x:row r="41">
      <x:c r="A41" s="12" t="str">
        <x:v>2026-05</x:v>
      </x:c>
      <x:c r="B41" s="12" t="str">
        <x:v>GoodShort</x:v>
      </x:c>
      <x:c r="C41" s="12" t="str">
        <x:v>Found A Homeless Genius To Save My Company</x:v>
      </x:c>
      <x:c r="D41" s="12" t="str">
        <x:v>NEW_SUPPLEMENT</x:v>
      </x:c>
      <x:c r="E41" s="12" t="str">
        <x:v>ADD as supplemental reference</x:v>
      </x:c>
      <x:c r="F41" s="12" t="str"/>
      <x:c r="G41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1" s="12" t="str">
        <x:v>4월과 같은 이유로 5월에도 유지 가치가 높다. 하나는 남성향 역습, 다른 하나는 키즈 매개 화해극이라 포트폴리오 분산에 좋다.</x:v>
      </x:c>
      <x:c r="I41" s="12" t="str">
        <x:v>GoodShort 홈 전면 노출 기준으로 5월까지도 라이브러리 메인 추천 카드로 적합하다.</x:v>
      </x:c>
      <x:c r="J41" s="20" t="n">
        <x:v>73</x:v>
      </x:c>
      <x:c r="K41" s="12" t="str">
        <x:v>현행 슬롯도 강하거나 보강자료의 정량성이 낮아 직접 교체 근거는 부족.</x:v>
      </x:c>
      <x:c r="L41" s="12" t="str">
        <x:v>별도 참고 행으로 보존하고 추가 검증 후 승격.</x:v>
      </x:c>
      <x:c r="M41" s="12" t="str">
        <x:v>https://www.goodshort.com/</x:v>
      </x:c>
    </x:row>
    <x:row r="42">
      <x:c r="A42" s="12" t="str">
        <x:v>2026-05</x:v>
      </x:c>
      <x:c r="B42" s="12" t="str">
        <x:v>GoodShort</x:v>
      </x:c>
      <x:c r="C42" s="12" t="str">
        <x:v>Mommy Hold On I Brought Daddy to Save You</x:v>
      </x:c>
      <x:c r="D42" s="12" t="str">
        <x:v>NEW_SUPPLEMENT</x:v>
      </x:c>
      <x:c r="E42" s="12" t="str">
        <x:v>ADD as supplemental reference</x:v>
      </x:c>
      <x:c r="F42" s="12" t="str"/>
      <x:c r="G42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2" s="12" t="str">
        <x:v>4월과 같은 이유로 5월에도 유지 가치가 높다. 하나는 남성향 역습, 다른 하나는 키즈 매개 화해극이라 포트폴리오 분산에 좋다.</x:v>
      </x:c>
      <x:c r="I42" s="12" t="str">
        <x:v>GoodShort 홈 전면 노출 기준으로 5월까지도 라이브러리 메인 추천 카드로 적합하다.</x:v>
      </x:c>
      <x:c r="J42" s="20" t="n">
        <x:v>73</x:v>
      </x:c>
      <x:c r="K42" s="12" t="str">
        <x:v>현행 슬롯도 강하거나 보강자료의 정량성이 낮아 직접 교체 근거는 부족.</x:v>
      </x:c>
      <x:c r="L42" s="12" t="str">
        <x:v>별도 참고 행으로 보존하고 추가 검증 후 승격.</x:v>
      </x:c>
      <x:c r="M42" s="12" t="str">
        <x:v>https://www.goodshort.com/</x:v>
      </x:c>
    </x:row>
    <x:row r="43">
      <x:c r="A43" s="12" t="str">
        <x:v>2025-06</x:v>
      </x:c>
      <x:c r="B43" s="12" t="str">
        <x:v>NetShort</x:v>
      </x:c>
      <x:c r="C43" s="12" t="str">
        <x:v>Official Bride Pick: My Three Beauties</x:v>
      </x:c>
      <x:c r="D43" s="12" t="str">
        <x:v>NEW_SUPPLEMENT</x:v>
      </x:c>
      <x:c r="E43" s="12" t="str">
        <x:v>ADD + optional replace weak slot</x:v>
      </x:c>
      <x:c r="F43" s="12" t="str">
        <x:v>Rise From the Ashes / rank 3 / Medium</x:v>
      </x:c>
      <x:c r="G43" s="12" t="str">
        <x:v>1. When Love Runs Out (Medium); 2. Mommy's Billionaire Blessing (Medium); 3. Rise From the Ashes (Medium)</x:v>
      </x:c>
      <x:c r="H43" s="12" t="str">
        <x:v>뜻밖의 사고 뒤 평범한 여자가 강력한 CEO의 눈에 들며 인생이 바뀌는 결혼·재벌물. 태그: romance, CEO, accident spark.</x:v>
      </x:c>
      <x:c r="I43" s="12" t="str">
        <x:v>공개월 세부 추적은 어렵지만 NetShort의 고평점 대표작으로 공식 상단 노출이 확인된다. 성과 수치 미상.</x:v>
      </x:c>
      <x:c r="J43" s="20" t="n">
        <x:v>77</x:v>
      </x:c>
      <x:c r="K43" s="12" t="str">
        <x:v>현행 동월 슬롯 중 낮은 근거 행이 있으며, 보강자료 후보가 기획/성과 신호를 보강함.</x:v>
      </x:c>
      <x:c r="L43" s="12" t="str">
        <x:v>라이브러리에는 추가. TOP 슬롯 quota가 필요하면 target 행을 우선 교체 검토.</x:v>
      </x:c>
      <x:c r="M43" s="12" t="str">
        <x:v>https://www.youtube.com/%40GoodShort_Korea</x:v>
      </x:c>
    </x:row>
    <x:row r="44">
      <x:c r="A44" s="12" t="str">
        <x:v>2025-07</x:v>
      </x:c>
      <x:c r="B44" s="12" t="str">
        <x:v>NetShort</x:v>
      </x:c>
      <x:c r="C44" s="12" t="str">
        <x:v>Betray Me for a Princess? I’m Done Hiding!</x:v>
      </x:c>
      <x:c r="D44" s="12" t="str">
        <x:v>NEW_SUPPLEMENT</x:v>
      </x:c>
      <x:c r="E44" s="12" t="str">
        <x:v>ADD + optional replace weak slot</x:v>
      </x:c>
      <x:c r="F44" s="12" t="str">
        <x:v>Oops, My Toyboy is a Heir / rank 3 / Medium</x:v>
      </x:c>
      <x:c r="G44" s="12" t="str">
        <x:v>1. Until I Forget You (Medium); 2. Queen of the Vine (Medium); 3. Oops, My Toyboy is a Heir (Medium)</x:v>
      </x:c>
      <x:c r="H44" s="12" t="str">
        <x:v>배신당한 뒤 숨기던 힘을 드러내는 중세/판타지 계열 역습물. 태그: fantasy romance, betrayal, hidden power.</x:v>
      </x:c>
      <x:c r="I44" s="12" t="str">
        <x:v>공식 페이지 노출은 확인되지만 과거 월별 수치는 미상. 추정 성과는 “여성향 판타지 역습 슬롯”.</x:v>
      </x:c>
      <x:c r="J44" s="20" t="n">
        <x:v>75</x:v>
      </x:c>
      <x:c r="K44" s="12" t="str">
        <x:v>현행 동월 슬롯 중 낮은 근거 행이 있으며, 보강자료 후보가 기획/성과 신호를 보강함.</x:v>
      </x:c>
      <x:c r="L44" s="12" t="str">
        <x:v>라이브러리에는 추가. TOP 슬롯 quota가 필요하면 target 행을 우선 교체 검토.</x:v>
      </x:c>
      <x:c r="M44" s="12" t="str">
        <x:v>https://www.instagram.com/p/DWEQ1CCADrN/</x:v>
      </x:c>
    </x:row>
    <x:row r="45">
      <x:c r="A45" s="12" t="str">
        <x:v>2025-08</x:v>
      </x:c>
      <x:c r="B45" s="12" t="str">
        <x:v>NetShort</x:v>
      </x:c>
      <x:c r="C45" s="12" t="str">
        <x:v>Counterattack Life</x:v>
      </x:c>
      <x:c r="D45" s="12" t="str">
        <x:v>NEW_SUPPLEMENT</x:v>
      </x:c>
      <x:c r="E45" s="12" t="str">
        <x:v>ADD + optional replace weak slot</x:v>
      </x:c>
      <x:c r="F45" s="12" t="str">
        <x:v>재벌의 위장 결혼 / rank 3 / Low</x:v>
      </x:c>
      <x:c r="G45" s="12" t="str">
        <x:v>1. Dumped Me Pregnant? Pay Up Mr Crazy (Medium); 2. Married to a Hidden King (Medium); 3. 재벌의 위장 결혼 (Low)</x:v>
      </x:c>
      <x:c r="H45" s="12" t="str">
        <x:v>시작부터 천안(天眼)을 각성하고 역습 인생을 여는 초능력·성장물. 태그: supernatural, awakening, comeback.</x:v>
      </x:c>
      <x:c r="I45" s="12" t="str">
        <x:v>공식 유튜브 채널 라인업에서 제목이 보이지만 세부 수치는 미상. पुरुष/성장향 보강용 카드.</x:v>
      </x:c>
      <x:c r="J45" s="20" t="n">
        <x:v>77</x:v>
      </x:c>
      <x:c r="K45" s="12" t="str">
        <x:v>현행 동월 슬롯 중 낮은 근거 행이 있으며, 보강자료 후보가 기획/성과 신호를 보강함.</x:v>
      </x:c>
      <x:c r="L45" s="12" t="str">
        <x:v>라이브러리에는 추가. TOP 슬롯 quota가 필요하면 target 행을 우선 교체 검토.</x:v>
      </x:c>
      <x:c r="M45" s="12" t="str">
        <x:v>https://www.youtube.com/watch?v=NfqFNCRxWR8
https://www.youtube.com/%40NetShort-app</x:v>
      </x:c>
    </x:row>
    <x:row r="46">
      <x:c r="A46" s="12" t="str">
        <x:v>2025-09</x:v>
      </x:c>
      <x:c r="B46" s="12" t="str">
        <x:v>NetShort</x:v>
      </x:c>
      <x:c r="C46" s="12" t="str">
        <x:v>Iron Fist, Blossoming Heart</x:v>
      </x:c>
      <x:c r="D46" s="12" t="str">
        <x:v>NEW_SUPPLEMENT</x:v>
      </x:c>
      <x:c r="E46" s="12" t="str">
        <x:v>ADD + optional replace weak slot</x:v>
      </x:c>
      <x:c r="F46" s="12" t="str">
        <x:v>Cheating Death / rank 3 / Medium</x:v>
      </x:c>
      <x:c r="G46" s="12" t="str">
        <x:v>1. CEO's No-No Clause (Medium); 2. How to Tame a Tiny Tycoon (Medium); 3. Cheating Death (Medium)</x:v>
      </x:c>
      <x:c r="H46" s="12" t="str">
        <x:v>평범해 보이던 소녀가 쿵푸 마스터로 성장하며 힘으로 세계를 뒤집는 액션 성장극. 태그: kung-fu, female action, rise.</x:v>
      </x:c>
      <x:c r="I46" s="12" t="str">
        <x:v>공식/공식계열 채널 결과에선 풀버전 영상이 968K views 수준까지 보였다. 추정 성과는 초기 NetShort 액션축의 강한 롱테일.</x:v>
      </x:c>
      <x:c r="J46" s="20" t="n">
        <x:v>89</x:v>
      </x:c>
      <x:c r="K46" s="12" t="str">
        <x:v>현행 동월 슬롯 중 낮은 근거 행이 있으며, 보강자료 후보가 기획/성과 신호를 보강함.</x:v>
      </x:c>
      <x:c r="L46" s="12" t="str">
        <x:v>라이브러리에는 추가. TOP 슬롯 quota가 필요하면 target 행을 우선 교체 검토.</x:v>
      </x:c>
      <x:c r="M46" s="12" t="str">
        <x:v>https://www.youtube.com/watch?v=cxp0jqKqUvM
https://www.youtube.com/watch?v=7aB4SkpK7jk</x:v>
      </x:c>
    </x:row>
    <x:row r="47">
      <x:c r="A47" s="12" t="str">
        <x:v>2025-10</x:v>
      </x:c>
      <x:c r="B47" s="12" t="str">
        <x:v>NetShort</x:v>
      </x:c>
      <x:c r="C47" s="12" t="str">
        <x:v>Legend of Dawnbreaker</x:v>
      </x:c>
      <x:c r="D47" s="12" t="str">
        <x:v>NEW_SUPPLEMENT</x:v>
      </x:c>
      <x:c r="E47" s="12" t="str">
        <x:v>ADD + optional replace weak slot</x:v>
      </x:c>
      <x:c r="F47" s="12" t="str">
        <x:v>Too Late to Come Back (Dubbed) / rank 3 / High</x:v>
      </x:c>
      <x:c r="G47" s="12" t="str">
        <x:v>1. Crippled? No, I’m the Grandmaster! (High); 2. Behave Yourself, Princess! (Dubbed) (High); 3. Too Late to Come Back (Dubbed) (High)</x:v>
      </x:c>
      <x:c r="H47" s="12" t="str">
        <x:v>타고난 검의 몸을 가진 소년이 가문 복수를 위해 검성으로 성장하는 무협형 성장극. 태그: sword master, revenge, youth fantasy.</x:v>
      </x:c>
      <x:c r="I47" s="12" t="str">
        <x:v>공식 채널 결과에서 83K views, 하이라이트는 68K views가 잡힌다. 추정 성과는 중상위 검·무협 슬롯.</x:v>
      </x:c>
      <x:c r="J47" s="20" t="n">
        <x:v>89</x:v>
      </x:c>
      <x:c r="K47" s="12" t="str">
        <x:v>현행 동월 슬롯 중 낮은 근거 행이 있으며, 보강자료 후보가 기획/성과 신호를 보강함.</x:v>
      </x:c>
      <x:c r="L47" s="12" t="str">
        <x:v>라이브러리에는 추가. TOP 슬롯 quota가 필요하면 target 행을 우선 교체 검토.</x:v>
      </x:c>
      <x:c r="M47" s="12" t="str">
        <x:v>https://www.youtube.com/watch?v=Kaj4ay1Gz9A
https://www.youtube.com/watch?v=NoJy-qtLhtU</x:v>
      </x:c>
    </x:row>
    <x:row r="48">
      <x:c r="A48" s="12" t="str">
        <x:v>2025-11</x:v>
      </x:c>
      <x:c r="B48" s="12" t="str">
        <x:v>NetShort</x:v>
      </x:c>
      <x:c r="C48" s="12" t="str">
        <x:v>The Legend of A Bastard Son</x:v>
      </x:c>
      <x:c r="D48" s="12" t="str">
        <x:v>NEW_SUPPLEMENT</x:v>
      </x:c>
      <x:c r="E48" s="12" t="str">
        <x:v>ADD + optional replace weak slot</x:v>
      </x:c>
      <x:c r="F48" s="12" t="str">
        <x:v>My Sister’s Fiancé, My Mafia Husband / rank 3 / High</x:v>
      </x:c>
      <x:c r="G48" s="12" t="str">
        <x:v>1. Bye, Husband! My Protection’s Over (High); 2. Loved Him Once. Never Again (High); 3. My Sister’s Fiancé, My Mafia Husband (High)</x:v>
      </x:c>
      <x:c r="H48" s="12" t="str">
        <x:v>사생아로 조롱받던 청년이 압도적 힘을 숨긴 채 살다가 결국 왕귀하는 언더독 반전물. 태그: underdog rise, hidden strength, martial arts.</x:v>
      </x:c>
      <x:c r="I48" s="12" t="str">
        <x:v>공식 계열 결과에서 971K views, 다른 클립은 238K views가 보여 강한 남성향 전환 카드로 읽힌다.</x:v>
      </x:c>
      <x:c r="J48" s="20" t="n">
        <x:v>89</x:v>
      </x:c>
      <x:c r="K48" s="12" t="str">
        <x:v>현행 동월 슬롯 중 낮은 근거 행이 있으며, 보강자료 후보가 기획/성과 신호를 보강함.</x:v>
      </x:c>
      <x:c r="L48" s="12" t="str">
        <x:v>라이브러리에는 추가. TOP 슬롯 quota가 필요하면 target 행을 우선 교체 검토.</x:v>
      </x:c>
      <x:c r="M48" s="12" t="str">
        <x:v>https://www.youtube.com/watch?v=BQjxniDgpuM
https://www.youtube.com/watch?v=1Vkor8Oz3M0</x:v>
      </x:c>
    </x:row>
    <x:row r="49">
      <x:c r="A49" s="12" t="str">
        <x:v>2025-12</x:v>
      </x:c>
      <x:c r="B49" s="12" t="str">
        <x:v>NetShort</x:v>
      </x:c>
      <x:c r="C49" s="12" t="str">
        <x:v>Baby Tycoon &amp; Her Reward System</x:v>
      </x:c>
      <x:c r="D49" s="12" t="str">
        <x:v>NEW_SUPPLEMENT</x:v>
      </x:c>
      <x:c r="E49" s="12" t="str">
        <x:v>ADD + optional replace weak slot</x:v>
      </x:c>
      <x:c r="F49" s="12" t="str">
        <x:v>My Brother-in-Law's Secret Obsession / rank 3 / High</x:v>
      </x:c>
      <x:c r="G49" s="12" t="str">
        <x:v>1. 10 Days to Win His Majesty, or Die (High); 2. My Wife Cheated, So I Became a God (High); 3. My Brother-in-Law's Secret Obsession (High)</x:v>
      </x:c>
      <x:c r="H49" s="12" t="str">
        <x:v>되돌리기 기회를 얻은 비비안이 어린 몸으로 가족 운명을 바꾸는 시스템형 역습극. 태그: second chance, child mastermind, system.</x:v>
      </x:c>
      <x:c r="I49" s="12" t="str">
        <x:v>공식 리뷰 스니펫은 “thrilling and filled with witty moments”라고 요약했다. 수치 공개는 미상.</x:v>
      </x:c>
      <x:c r="J49" s="20" t="n">
        <x:v>81</x:v>
      </x:c>
      <x:c r="K49" s="12" t="str">
        <x:v>현행 동월 슬롯 중 낮은 근거 행이 있으며, 보강자료 후보가 기획/성과 신호를 보강함.</x:v>
      </x:c>
      <x:c r="L49" s="12" t="str">
        <x:v>라이브러리에는 추가. TOP 슬롯 quota가 필요하면 target 행을 우선 교체 검토.</x:v>
      </x:c>
      <x:c r="M49" s="12" t="str">
        <x:v>https://netshort.com/episode/baby-tycoon-her-reward-system-1970771520843513857</x:v>
      </x:c>
    </x:row>
    <x:row r="50">
      <x:c r="A50" s="12" t="str">
        <x:v>2026-01</x:v>
      </x:c>
      <x:c r="B50" s="12" t="str">
        <x:v>NetShort</x:v>
      </x:c>
      <x:c r="C50" s="12" t="str">
        <x:v>The 5-time rejected luna</x:v>
      </x:c>
      <x:c r="D50" s="12" t="str">
        <x:v>NEW_SUPPLEMENT</x:v>
      </x:c>
      <x:c r="E50" s="12" t="str">
        <x:v>ADD as supplemental reference</x:v>
      </x:c>
      <x:c r="F50" s="12" t="str"/>
      <x:c r="G50" s="12" t="str">
        <x:v>1. Marry My Father-in-Law for Revenge (High); 2. My Family Framed Me. Time For Payback! (High); 3. Bye Mr. Ice (High)</x:v>
      </x:c>
      <x:c r="H50" s="12" t="str">
        <x:v>다섯 번 거절당한 루나가 잘못된 메이트를 버리고 시각장애 남자와 재혼하면서 진짜 사랑과 후회를 역전시키는 늑대인간물. 태그: werewolf, mistaken identity, regret.</x:v>
      </x:c>
      <x:c r="I50" s="12" t="str">
        <x:v>Official NetShort pages verify the title as rejected-luna werewolf romance. 2026-05-19 audit: not AIGC; keep only as werewolf/regret trend.</x:v>
      </x:c>
      <x:c r="J50" s="20" t="n">
        <x:v>86</x:v>
      </x:c>
      <x:c r="K50" s="12" t="str">
        <x:v>AIGC 제작 근거 없음. 월간 슬롯 대체보다는 werewolf/rejected mate 트렌드 레퍼런스로 보존.</x:v>
      </x:c>
      <x:c r="L50" s="12" t="str">
        <x:v>AIGC tracker 제외. ReelShort Alpha Queen 계열과 비교.</x:v>
      </x:c>
      <x:c r="M50" s="12" t="str">
        <x:v>https://netshort.com/full-episodes/the-5-time-rejected-luna-2048604611983441922
https://netshort.com/hotseries/the-5-time-rejected-luna-2048604611983441922</x:v>
      </x:c>
    </x:row>
    <x:row r="51">
      <x:c r="A51" s="12" t="str">
        <x:v>2026-02</x:v>
      </x:c>
      <x:c r="B51" s="12" t="str">
        <x:v>NetShort</x:v>
      </x:c>
      <x:c r="C51" s="12" t="str">
        <x:v>One Move God Mode</x:v>
      </x:c>
      <x:c r="D51" s="12" t="str">
        <x:v>MATCH_OTHER_MONTH</x:v>
      </x:c>
      <x:c r="E51" s="12" t="str">
        <x:v>ADD as repeated/realigned month</x:v>
      </x:c>
      <x:c r="F51" s="12" t="str">
        <x:v>2026-03 rank1</x:v>
      </x:c>
      <x:c r="G51" s="12" t="str">
        <x:v>1. OMG! I Become a Demon’s Husband (High); 2. 월급쟁이 말고 재벌집 가정부 (High); 3. 불꽃 속의 귀환 (High); 4. 결혼 후에야 시작된 열애 (High); 5. 그녀는 톱배우야! (Medium)</x:v>
      </x:c>
      <x:c r="H51" s="12" t="str">
        <x:v>포세이돈의 아들이 농부로 살다 숨겨진 삼지창과 신성을 각성해 전설로 올라서는 서양 판타지 역습물. 태그: western fantasy, god-blood, power fantasy.</x:v>
      </x:c>
      <x:c r="I51" s="12" t="str">
        <x:v>TopMarketing이 NetShort의 AI 대표작으로 직접 제시했고, NetShort는 2026-03-30에 공식 블로그를 올렸다. 공개 반응 스니펫도 “Absolutely mind-blowing”라고 적었다.</x:v>
      </x:c>
      <x:c r="J51" s="20" t="n">
        <x:v>81</x:v>
      </x:c>
      <x:c r="K51" s="12" t="str">
        <x:v>기존 시트에 존재하지만 월이 다름. 론칭월/집행월/장기 노출월이 엇갈릴 수 있음.</x:v>
      </x:c>
      <x:c r="L51" s="12" t="str">
        <x:v>강제 교체보다 월 반복 편성 또는 month_note로 관리.</x:v>
      </x:c>
      <x:c r="M51" s="12" t="str">
        <x:v>https://netshort.com/full-episodes/one-move-god-mode-2039262008318099458
https://www.itopmarketing.com/info22317</x:v>
      </x:c>
    </x:row>
    <x:row r="52">
      <x:c r="A52" s="12" t="str">
        <x:v>2026-03</x:v>
      </x:c>
      <x:c r="B52" s="12" t="str">
        <x:v>NetShort</x:v>
      </x:c>
      <x:c r="C52" s="12" t="str">
        <x:v>The Discarded Ace</x:v>
      </x:c>
      <x:c r="D52" s="12" t="str">
        <x:v>NEW_SUPPLEMENT</x:v>
      </x:c>
      <x:c r="E52" s="12" t="str">
        <x:v>ADD + optional replace weak slot</x:v>
      </x:c>
      <x:c r="F52" s="12" t="str">
        <x:v>Go Dutch? My Mom Strikes Back / rank 5 / High</x:v>
      </x:c>
      <x:c r="G52" s="12" t="str">
        <x:v>1. One Move God Mode (High); 2. 1000 Years in a Loop! (High); 3. The Godmaker’s Return (High); 4. Marry Me? No, Killed Me! (High); 5. Go Dutch? My Mom Strikes Back (High)</x:v>
      </x:c>
      <x:c r="H52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2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2" s="20" t="n">
        <x:v>93</x:v>
      </x:c>
      <x:c r="K52" s="12" t="str">
        <x:v>현행 동월 슬롯 중 낮은 근거 행이 있으며, 보강자료 후보가 기획/성과 신호를 보강함.</x:v>
      </x:c>
      <x:c r="L52" s="12" t="str">
        <x:v>라이브러리에는 추가. TOP 슬롯 quota가 필요하면 target 행을 우선 교체 검토.</x:v>
      </x:c>
      <x:c r="M52" s="12" t="str">
        <x:v>https://netshort.com/full-episodes/the-discarded-ace-2041056545067761666
https://www.itopmarketing.com/info22317</x:v>
      </x:c>
    </x:row>
    <x:row r="53">
      <x:c r="A53" s="12" t="str">
        <x:v>2026-03</x:v>
      </x:c>
      <x:c r="B53" s="12" t="str">
        <x:v>NetShort</x:v>
      </x:c>
      <x:c r="C53" s="12" t="str">
        <x:v>One Move God Mode</x:v>
      </x:c>
      <x:c r="D53" s="12" t="str">
        <x:v>MATCH_SAME_MONTH</x:v>
      </x:c>
      <x:c r="E53" s="12" t="str">
        <x:v>MERGE / reinforce existing row</x:v>
      </x:c>
      <x:c r="F53" s="12" t="str">
        <x:v>One Move God Mode</x:v>
      </x:c>
      <x:c r="G53" s="12" t="str">
        <x:v>1. One Move God Mode (High); 2. 1000 Years in a Loop! (High); 3. The Godmaker’s Return (High); 4. Marry Me? No, Killed Me! (High); 5. Go Dutch? My Mom Strikes Back (High)</x:v>
      </x:c>
      <x:c r="H53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3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3" s="20" t="n">
        <x:v>93</x:v>
      </x:c>
      <x:c r="K53" s="12" t="str">
        <x:v>기존 행과 같은 월·플랫폼·타이틀이 일치. 보강자료의 성과/소스만 병합.</x:v>
      </x:c>
      <x:c r="L53" s="12" t="str">
        <x:v>삭제·교체 불필요. source_urls와 performance_signal 보강.</x:v>
      </x:c>
      <x:c r="M53" s="12" t="str">
        <x:v>https://netshort.com/full-episodes/the-discarded-ace-2041056545067761666
https://www.itopmarketing.com/info22317</x:v>
      </x:c>
    </x:row>
    <x:row r="54">
      <x:c r="A54" s="12" t="str">
        <x:v>2026-03</x:v>
      </x:c>
      <x:c r="B54" s="12" t="str">
        <x:v>NetShort</x:v>
      </x:c>
      <x:c r="C54" s="12" t="str">
        <x:v>說好的乙遊戀愛呢？執事怎麼全員黑化了！</x:v>
      </x:c>
      <x:c r="D54" s="12" t="str">
        <x:v>NEW_SUPPLEMENT</x:v>
      </x:c>
      <x:c r="E54" s="12" t="str">
        <x:v>ADD + optional replace weak slot</x:v>
      </x:c>
      <x:c r="F54" s="12" t="str">
        <x:v>Go Dutch? My Mom Strikes Back / rank 5 / High</x:v>
      </x:c>
      <x:c r="G54" s="12" t="str">
        <x:v>1. One Move God Mode (High); 2. 1000 Years in a Loop! (High); 3. The Godmaker’s Return (High); 4. Marry Me? No, Killed Me! (High); 5. Go Dutch? My Mom Strikes Back (High)</x:v>
      </x:c>
      <x:c r="H54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4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4" s="20" t="n">
        <x:v>93</x:v>
      </x:c>
      <x:c r="K54" s="12" t="str">
        <x:v>현행 동월 슬롯 중 낮은 근거 행이 있으며, 보강자료 후보가 기획/성과 신호를 보강함.</x:v>
      </x:c>
      <x:c r="L54" s="12" t="str">
        <x:v>라이브러리에는 추가. TOP 슬롯 quota가 필요하면 target 행을 우선 교체 검토.</x:v>
      </x:c>
      <x:c r="M54" s="12" t="str">
        <x:v>https://netshort.com/full-episodes/the-discarded-ace-2041056545067761666
https://www.itopmarketing.com/info22317</x:v>
      </x:c>
    </x:row>
    <x:row r="55">
      <x:c r="A55" s="12" t="str">
        <x:v>2026-04</x:v>
      </x:c>
      <x:c r="B55" s="12" t="str">
        <x:v>NetShort</x:v>
      </x:c>
      <x:c r="C55" s="12" t="str">
        <x:v>The 5-time rejected luna</x:v>
      </x:c>
      <x:c r="D55" s="12" t="str">
        <x:v>NEW_SUPPLEMENT</x:v>
      </x:c>
      <x:c r="E55" s="12" t="str">
        <x:v>ADD + optional replace weak slot</x:v>
      </x:c>
      <x:c r="F55" s="12" t="str">
        <x:v>Substitute Bride: A Twin's Revenge / rank 5 / High</x:v>
      </x:c>
      <x:c r="G55" s="12" t="str">
        <x:v>1. Lv.1 Legend? Sweet (High); 2. From Victim to Mrs. CEO (High); 3. No More Love, Just Trillions (High); 4. Biting into Sweet Love (High); 5. Substitute Bride: A Twin's Revenge (High)</x:v>
      </x:c>
      <x:c r="H55" s="12" t="str">
        <x:v>The 5-time rejected luna는 늑대인간 후회/재혼 로맨스다. AI 천재물/도박 AI작과 혼합하지 않는다.</x:v>
      </x:c>
      <x:c r="I55" s="12" t="str">
        <x:v>Official pages verify werewolf rejected-mate romance; production AIGC evidence not found in this correction pass.</x:v>
      </x:c>
      <x:c r="J55" s="20" t="n">
        <x:v>86</x:v>
      </x:c>
      <x:c r="K55" s="12" t="str">
        <x:v>기존 메모의 AI-theme/Discarded Ace 혼합을 제거. 별도 핵심 트렌드로만 보존.</x:v>
      </x:c>
      <x:c r="L55" s="12" t="str">
        <x:v>AIGC tracker 제외. Alpha Queen/Rejected Luna 계열 비교.</x:v>
      </x:c>
      <x:c r="M55" s="12" t="str">
        <x:v>https://netshort.com/full-episodes/the-5-time-rejected-luna-2048604611983441922
https://netshort.com/hotseries/the-5-time-rejected-luna-2048604611983441922</x:v>
      </x:c>
    </x:row>
    <x:row r="56">
      <x:c r="A56" s="12" t="str">
        <x:v>2026-04</x:v>
      </x:c>
      <x:c r="B56" s="12" t="str">
        <x:v>NetShort</x:v>
      </x:c>
      <x:c r="C56" s="12" t="str">
        <x:v>Divorced &amp; Unmasked: The AI Queen Rules</x:v>
      </x:c>
      <x:c r="D56" s="12" t="str">
        <x:v>NEW_SUPPLEMENT</x:v>
      </x:c>
      <x:c r="E56" s="12" t="str">
        <x:v>ADD + optional replace weak slot</x:v>
      </x:c>
      <x:c r="F56" s="12" t="str">
        <x:v>Substitute Bride: A Twin's Revenge / rank 5 / High</x:v>
      </x:c>
      <x:c r="G56" s="12" t="str">
        <x:v>1. Lv.1 Legend? Sweet (High); 2. From Victim to Mrs. CEO (High); 3. No More Love, Just Trillions (High); 4. Biting into Sweet Love (High); 5. Substitute Bride: A Twin's Revenge (High)</x:v>
      </x:c>
      <x:c r="H56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6" s="12" t="str">
        <x:v>Official NetShort page verifies AI-genius story theme; production AIGC evidence unconfirmed.</x:v>
      </x:c>
      <x:c r="J56" s="20" t="n">
        <x:v>88</x:v>
      </x:c>
      <x:c r="K56" s="12" t="str">
        <x:v>AI-theme only. 제작 AIGC로 카운트하지 않음.</x:v>
      </x:c>
      <x:c r="L56" s="12" t="str">
        <x:v>AI-theme-only bucket으로 분리.</x:v>
      </x:c>
      <x:c r="M56" s="12" t="str">
        <x:v>https://netshort.com/full-episodes/divorced-unmasked-the-ai-queen-rules-2014152893217890306</x:v>
      </x:c>
    </x:row>
    <x:row r="57">
      <x:c r="A57" s="12" t="str">
        <x:v>2026-04</x:v>
      </x:c>
      <x:c r="B57" s="12" t="str">
        <x:v>NetShort</x:v>
      </x:c>
      <x:c r="C57" s="12" t="str">
        <x:v>The Discarded Ace</x:v>
      </x:c>
      <x:c r="D57" s="12" t="str">
        <x:v>NEW_SUPPLEMENT</x:v>
      </x:c>
      <x:c r="E57" s="12" t="str">
        <x:v>ADD + optional replace weak slot</x:v>
      </x:c>
      <x:c r="F57" s="12" t="str">
        <x:v>Substitute Bride: A Twin's Revenge / rank 5 / High</x:v>
      </x:c>
      <x:c r="G57" s="12" t="str">
        <x:v>1. Lv.1 Legend? Sweet (High); 2. From Victim to Mrs. CEO (High); 3. No More Love, Just Trillions (High); 4. Biting into Sweet Love (High); 5. Substitute Bride: A Twin's Revenge (High)</x:v>
      </x:c>
      <x:c r="H57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7" s="12" t="str">
        <x:v>① 공식 블로그가 2026-04-28 게시. ② AI “주제”는 직접적이지만 제작 AIGC 여부는 미상. ③ 공식 유튜브 플레이리스트는 23,409 views를 노출했다.</x:v>
      </x:c>
      <x:c r="J57" s="20" t="n">
        <x:v>93</x:v>
      </x:c>
      <x:c r="K57" s="12" t="str">
        <x:v>현행 동월 슬롯 중 낮은 근거 행이 있으며, 보강자료 후보가 기획/성과 신호를 보강함.</x:v>
      </x:c>
      <x:c r="L57" s="12" t="str">
        <x:v>라이브러리에는 추가. TOP 슬롯 quota가 필요하면 target 행을 우선 교체 검토.</x:v>
      </x:c>
      <x:c r="M57" s="12" t="str">
        <x:v>https://netshort.com/episode/the-5-time-rejected-luna-2048604611983441922
https://netshort.com/blog/the-5-time-rejected-luna-watch-online-rejected-love-and-no-turning-back-2049047965972037633</x:v>
      </x:c>
    </x:row>
    <x:row r="58">
      <x:c r="A58" s="12" t="str">
        <x:v>2026-05</x:v>
      </x:c>
      <x:c r="B58" s="12" t="str">
        <x:v>NetShort</x:v>
      </x:c>
      <x:c r="C58" s="12" t="str">
        <x:v>After My Slumber, Gods Repent</x:v>
      </x:c>
      <x:c r="D58" s="12" t="str">
        <x:v>NEW_SUPPLEMENT</x:v>
      </x:c>
      <x:c r="E58" s="12" t="str">
        <x:v>ADD + optional replace weak slot</x:v>
      </x:c>
      <x:c r="F58" s="12" t="str">
        <x:v>I Bet All I Have on Him / rank 5 / High</x:v>
      </x:c>
      <x:c r="G58" s="12" t="str">
        <x:v>1. Limitless Evolution: The Spider Scourge (High); 2. Betrayed? I Rule the Ocean! (High); 3. Till We Meet Again (High); 4. You Loved A Lie, Mr. Idiot! (High); 5. I Bet All I Have on Him (High)</x:v>
      </x:c>
      <x:c r="H58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8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8" s="20" t="n">
        <x:v>85</x:v>
      </x:c>
      <x:c r="K58" s="12" t="str">
        <x:v>현행 동월 슬롯 중 낮은 근거 행이 있으며, 보강자료 후보가 기획/성과 신호를 보강함.</x:v>
      </x:c>
      <x:c r="L58" s="12" t="str">
        <x:v>라이브러리에는 추가. TOP 슬롯 quota가 필요하면 target 행을 우선 교체 검토.</x:v>
      </x:c>
      <x:c r="M58" s="12" t="str">
        <x:v>https://netshort.com/full-episodes/after-my-slumber-gods-repent-2052962354697601026
https://play.google.com/store/apps/details?hl=en&amp;id=com.netshort.abroad</x:v>
      </x:c>
    </x:row>
    <x:row r="59">
      <x:c r="A59" s="12" t="str">
        <x:v>2026-05</x:v>
      </x:c>
      <x:c r="B59" s="12" t="str">
        <x:v>NetShort</x:v>
      </x:c>
      <x:c r="C59" s="12" t="str">
        <x:v>Divorced &amp; Unmasked: The AI Queen Rules</x:v>
      </x:c>
      <x:c r="D59" s="12" t="str">
        <x:v>NEW_SUPPLEMENT</x:v>
      </x:c>
      <x:c r="E59" s="12" t="str">
        <x:v>ADD + optional replace weak slot</x:v>
      </x:c>
      <x:c r="F59" s="12" t="str">
        <x:v>I Bet All I Have on Him / rank 5 / High</x:v>
      </x:c>
      <x:c r="G59" s="12" t="str">
        <x:v>1. Limitless Evolution: The Spider Scourge (High); 2. Betrayed? I Rule the Ocean! (High); 3. Till We Meet Again (High); 4. You Loved A Lie, Mr. Idiot! (High); 5. I Bet All I Have on Him (High)</x:v>
      </x:c>
      <x:c r="H59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9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9" s="20" t="n">
        <x:v>85</x:v>
      </x:c>
      <x:c r="K59" s="12" t="str">
        <x:v>현행 동월 슬롯 중 낮은 근거 행이 있으며, 보강자료 후보가 기획/성과 신호를 보강함.</x:v>
      </x:c>
      <x:c r="L59" s="12" t="str">
        <x:v>라이브러리에는 추가. TOP 슬롯 quota가 필요하면 target 행을 우선 교체 검토.</x:v>
      </x:c>
      <x:c r="M59" s="12" t="str">
        <x:v>https://netshort.com/full-episodes/after-my-slumber-gods-repent-2052962354697601026
https://play.google.com/store/apps/details?hl=en&amp;id=com.netshort.abroad</x:v>
      </x:c>
    </x:row>
    <x:row r="60">
      <x:c r="A60" s="12" t="str">
        <x:v>2026-05</x:v>
      </x:c>
      <x:c r="B60" s="12" t="str">
        <x:v>NetShort</x:v>
      </x:c>
      <x:c r="C60" s="12" t="str">
        <x:v>The 5-time rejected luna</x:v>
      </x:c>
      <x:c r="D60" s="12" t="str">
        <x:v>NEW_SUPPLEMENT</x:v>
      </x:c>
      <x:c r="E60" s="12" t="str">
        <x:v>ADD + optional replace weak slot</x:v>
      </x:c>
      <x:c r="F60" s="12" t="str">
        <x:v>I Bet All I Have on Him / rank 5 / High</x:v>
      </x:c>
      <x:c r="G60" s="12" t="str">
        <x:v>1. Limitless Evolution: The Spider Scourge (High); 2. Betrayed? I Rule the Ocean! (High); 3. Till We Meet Again (High); 4. You Loved A Lie, Mr. Idiot! (High); 5. I Bet All I Have on Him (High)</x:v>
      </x:c>
      <x:c r="H60" s="12" t="str">
        <x:v>The 5-time rejected luna는 5월에도 werewolf/rejected-mate 계열 재노출 가능성이 있으나 production-AIGC 근거는 없다.</x:v>
      </x:c>
      <x:c r="I60" s="12" t="str">
        <x:v>Official NetShort pages verify title. 2026-05-19 audit separates it from After My Slumber/Discarded Ace AI-adjacent notes.</x:v>
      </x:c>
      <x:c r="J60" s="20" t="n">
        <x:v>86</x:v>
      </x:c>
      <x:c r="K60" s="12" t="str">
        <x:v>AIGC 후보가 아닌 werewolf trend reference로만 유지.</x:v>
      </x:c>
      <x:c r="L60" s="12" t="str">
        <x:v>AIGC tracker 제외. 앱 내 current ranking 확인 필요.</x:v>
      </x:c>
      <x:c r="M60" s="12" t="str">
        <x:v>https://netshort.com/full-episodes/the-5-time-rejected-luna-2048604611983441922
https://netshort.com/hotseries/the-5-time-rejected-luna-2048604611983441922</x:v>
      </x:c>
    </x:row>
    <x:row r="61">
      <x:c r="A61" s="12" t="str">
        <x:v>2025-06</x:v>
      </x:c>
      <x:c r="B61" s="12" t="str">
        <x:v>DramaWave</x:v>
      </x:c>
      <x:c r="C61" s="12" t="str">
        <x:v>Found You Again, My Healing Angel</x:v>
      </x:c>
      <x:c r="D61" s="12" t="str">
        <x:v>NEW_SUPPLEMENT</x:v>
      </x:c>
      <x:c r="E61" s="12" t="str">
        <x:v>ADD + optional replace weak slot</x:v>
      </x:c>
      <x:c r="F61" s="12" t="str">
        <x:v>Born with Magic / rank 3 / Low</x:v>
      </x:c>
      <x:c r="G61" s="12" t="str">
        <x:v>1. Stop Heartbreak, She's the One (Low); 2. Love at Fifty (Low); 3. Born with Magic (Low)</x:v>
      </x:c>
      <x:c r="H61" s="12" t="str">
        <x:v>어린 시절 요양원에서 만난 치유 능력의 소녀를 16년 뒤 다시 찾아 결혼하려는 재회 로맨스. 태그: healing power, reunion, destiny.</x:v>
      </x:c>
      <x:c r="I61" s="12" t="str">
        <x:v>공개 정량치는 미상. 감정 과잉형 재회물 슬롯으로 편성 가치가 있다.</x:v>
      </x:c>
      <x:c r="J61" s="20" t="n">
        <x:v>73</x:v>
      </x:c>
      <x:c r="K61" s="12" t="str">
        <x:v>현행 동월 슬롯 중 낮은 근거 행이 있으며, 보강자료 후보가 기획/성과 신호를 보강함.</x:v>
      </x:c>
      <x:c r="L61" s="12" t="str">
        <x:v>라이브러리에는 추가. TOP 슬롯 quota가 필요하면 target 행을 우선 교체 검토.</x:v>
      </x:c>
      <x:c r="M61" s="12" t="str">
        <x:v>https://m.mydramawave.com/series/fbYGFywu7f/2g3QCxwnct?from_page=library&amp;return_to=%2Fmy-list</x:v>
      </x:c>
    </x:row>
    <x:row r="62">
      <x:c r="A62" s="12" t="str">
        <x:v>2025-07</x:v>
      </x:c>
      <x:c r="B62" s="12" t="str">
        <x:v>DramaWave</x:v>
      </x:c>
      <x:c r="C62" s="12" t="str">
        <x:v>Heartbreak to CEO’s Bride</x:v>
      </x:c>
      <x:c r="D62" s="12" t="str">
        <x:v>NEW_SUPPLEMENT</x:v>
      </x:c>
      <x:c r="E62" s="12" t="str">
        <x:v>ADD + optional replace weak slot</x:v>
      </x:c>
      <x:c r="F62" s="12" t="str">
        <x:v>My Super-Vision Husband / rank 2 / Low</x:v>
      </x:c>
      <x:c r="G62" s="12" t="str">
        <x:v>1. The Princess Returns (Medium); 2. My Super-Vision Husband (Low); 3. Pucked by My Hockey Rival (Medium)</x:v>
      </x:c>
      <x:c r="H62" s="12" t="str">
        <x:v>결혼식 날 파혼당한 여주가 할머니의 개입으로 새로운 CEO와 연결되는 재출발 로맨스. 태그: wedding humiliation, CEO, grandmother intervention.</x:v>
      </x:c>
      <x:c r="I62" s="12" t="str">
        <x:v>성과 수치는 미상이나, DramaWave가 가장 즐겨 쓰는 파혼→재편입 문법의 전형이다.</x:v>
      </x:c>
      <x:c r="J62" s="20" t="n">
        <x:v>73</x:v>
      </x:c>
      <x:c r="K62" s="12" t="str">
        <x:v>현행 동월 슬롯 중 낮은 근거 행이 있으며, 보강자료 후보가 기획/성과 신호를 보강함.</x:v>
      </x:c>
      <x:c r="L62" s="12" t="str">
        <x:v>라이브러리에는 추가. TOP 슬롯 quota가 필요하면 target 행을 우선 교체 검토.</x:v>
      </x:c>
      <x:c r="M62" s="12" t="str">
        <x:v>https://m.mydramawave.com/series/Yt6rQYBU8n/fT10jfTFHZ?from_page=library&amp;return_to=%2Fmy-list</x:v>
      </x:c>
    </x:row>
    <x:row r="63">
      <x:c r="A63" s="12" t="str">
        <x:v>2025-08</x:v>
      </x:c>
      <x:c r="B63" s="12" t="str">
        <x:v>DramaWave</x:v>
      </x:c>
      <x:c r="C63" s="12" t="str">
        <x:v>Grandma Destroyed Her Heir</x:v>
      </x:c>
      <x:c r="D63" s="12" t="str">
        <x:v>NEW_SUPPLEMENT</x:v>
      </x:c>
      <x:c r="E63" s="12" t="str">
        <x:v>ADD + optional replace weak slot</x:v>
      </x:c>
      <x:c r="F63" s="12" t="str">
        <x:v>Love at Fifty / Divorce Dreams cluster / rank 3 / Low</x:v>
      </x:c>
      <x:c r="G63" s="12" t="str">
        <x:v>1. DramaWave app collection expansion (Low); 2. DramaWave YouTube/Reels catalog build (Medium); 3. Love at Fifty / Divorce Dreams cluster (Low)</x:v>
      </x:c>
      <x:c r="H63" s="12" t="str">
        <x:v>진통 중 홀로 병원으로 향하던 임산부가 시댁의 방해로 사고를 당하며 벌어지는 가족극. 태그: pregnancy, in-laws, accident, inheritance.</x:v>
      </x:c>
      <x:c r="I63" s="12" t="str">
        <x:v>공식 수치 미상. 강한 시월드/가족분노 훅으로 보강 가치가 있다.</x:v>
      </x:c>
      <x:c r="J63" s="20" t="n">
        <x:v>81</x:v>
      </x:c>
      <x:c r="K63" s="12" t="str">
        <x:v>현행 동월 슬롯 중 낮은 근거 행이 있으며, 보강자료 후보가 기획/성과 신호를 보강함.</x:v>
      </x:c>
      <x:c r="L63" s="12" t="str">
        <x:v>라이브러리에는 추가. TOP 슬롯 quota가 필요하면 target 행을 우선 교체 검토.</x:v>
      </x:c>
      <x:c r="M63" s="12" t="str">
        <x:v>https://m.mydramawave.com/series/vnsIgyVWmw/oYefCR7q6A?from_source=sm</x:v>
      </x:c>
    </x:row>
    <x:row r="64">
      <x:c r="A64" s="12" t="str">
        <x:v>2025-09</x:v>
      </x:c>
      <x:c r="B64" s="12" t="str">
        <x:v>DramaWave</x:v>
      </x:c>
      <x:c r="C64" s="12" t="str">
        <x:v>The Mighty Lady Fixes the Manor</x:v>
      </x:c>
      <x:c r="D64" s="12" t="str">
        <x:v>NEW_SUPPLEMENT</x:v>
      </x:c>
      <x:c r="E64" s="12" t="str">
        <x:v>ADD + optional replace weak slot</x:v>
      </x:c>
      <x:c r="F64" s="12" t="str">
        <x:v>Born with Magic / rank 3 / Low</x:v>
      </x:c>
      <x:c r="G64" s="12" t="str">
        <x:v>1. DramaWave AI content push begins (Medium); 2. Stop Heartbreak, She's the One (Low); 3. Born with Magic (Low)</x:v>
      </x:c>
      <x:c r="H64" s="12" t="str">
        <x:v>로맨스 소설을 비웃던 복싱 챔프가 소설 속 공주로 깨어나, 쓰레기들을 응징하고 장군을 구하는 전생전이물. 태그: rebirth, general, manor fix, fish-out-of-water.</x:v>
      </x:c>
      <x:c r="I64" s="12" t="str">
        <x:v>스토리 후킹이 매우 명확하고, 후일 AI 프로그램과도 어울리는 게임형/세계관형 구조다. 정량치는 미상.</x:v>
      </x:c>
      <x:c r="J64" s="20" t="n">
        <x:v>73</x:v>
      </x:c>
      <x:c r="K64" s="12" t="str">
        <x:v>현행 동월 슬롯 중 낮은 근거 행이 있으며, 보강자료 후보가 기획/성과 신호를 보강함.</x:v>
      </x:c>
      <x:c r="L64" s="12" t="str">
        <x:v>라이브러리에는 추가. TOP 슬롯 quota가 필요하면 target 행을 우선 교체 검토.</x:v>
      </x:c>
      <x:c r="M64" s="12" t="str">
        <x:v>https://m.mydramawave.com/free-app/share/episode/tf1wrp7iuh?audiotrack_language=en-US&amp;from=share&amp;language=en&amp;share_user_id=12106360319&amp;subtitle_language=en-US</x:v>
      </x:c>
    </x:row>
    <x:row r="65">
      <x:c r="A65" s="12" t="str">
        <x:v>2025-10</x:v>
      </x:c>
      <x:c r="B65" s="12" t="str">
        <x:v>DramaWave</x:v>
      </x:c>
      <x:c r="C65" s="12" t="str">
        <x:v>Wrong Sperm, Right Love</x:v>
      </x:c>
      <x:c r="D65" s="12" t="str">
        <x:v>NEW_SUPPLEMENT</x:v>
      </x:c>
      <x:c r="E65" s="12" t="str">
        <x:v>ADD + optional replace weak slot</x:v>
      </x:c>
      <x:c r="F65" s="12" t="str">
        <x:v>Love at Fifty / rank 3 / Low</x:v>
      </x:c>
      <x:c r="G65" s="12" t="str">
        <x:v>1. AI Micro-Drama Global Expansion cluster (Medium); 2. DramaWave dubbed-drama catalog (Medium); 3. Love at Fifty (Low)</x:v>
      </x:c>
      <x:c r="H65" s="12" t="str">
        <x:v>정자 바꿔치기로 억만장자 무기상 엑셀의 아이를 갖게 된 데이지가 약혼녀로 동거를 시작하며 벌어지는 작품. 태그: sperm mix-up, billionaire arms dealer, pregnancy.</x:v>
      </x:c>
      <x:c r="I65" s="12" t="str">
        <x:v>공개 뷰 수치는 불명확하지만 DramaWave가 미친 듯이 잘 쓰는 “실수 임신+재벌” 코어 훅이다.</x:v>
      </x:c>
      <x:c r="J65" s="20" t="n">
        <x:v>73</x:v>
      </x:c>
      <x:c r="K65" s="12" t="str">
        <x:v>현행 동월 슬롯 중 낮은 근거 행이 있으며, 보강자료 후보가 기획/성과 신호를 보강함.</x:v>
      </x:c>
      <x:c r="L65" s="12" t="str">
        <x:v>라이브러리에는 추가. TOP 슬롯 quota가 필요하면 target 행을 우선 교체 검토.</x:v>
      </x:c>
      <x:c r="M65" s="12" t="str">
        <x:v>https://m.mydramawave.com/series/wy5NhpK965/EmL3D8DA5T?from_page=home&amp;return_to=%2F
https://www.youtube.com/watch?v=7D7fO9R1FTg</x:v>
      </x:c>
    </x:row>
    <x:row r="66">
      <x:c r="A66" s="12" t="str">
        <x:v>2025-11</x:v>
      </x:c>
      <x:c r="B66" s="12" t="str">
        <x:v>DramaWave</x:v>
      </x:c>
      <x:c r="C66" s="12" t="str">
        <x:v>The Mafia King Wants Me</x:v>
      </x:c>
      <x:c r="D66" s="12" t="str">
        <x:v>NEW_SUPPLEMENT</x:v>
      </x:c>
      <x:c r="E66" s="12" t="str">
        <x:v>ADD + optional replace weak slot</x:v>
      </x:c>
      <x:c r="F66" s="12" t="str">
        <x:v>DramaWave app/channel library / rank 3 / Medium</x:v>
      </x:c>
      <x:c r="G66" s="12" t="str">
        <x:v>1. Never Break a Queen’s Heart (Medium); 2. DramaWave AI/SEA pilot cluster (Medium); 3. DramaWave app/channel library (Medium)</x:v>
      </x:c>
      <x:c r="H66" s="12" t="str">
        <x:v>할머니를 구하려다 마피아 킹 드레이븐을 구하게 된 엘레나가 배신당한 가족을 떠나 위험한 사랑에 빠지는 마피아 멜로. 태그: mafia, betrayal, rescue, contract vows.</x:v>
      </x:c>
      <x:c r="I66" s="12" t="str">
        <x:v>공식 유튜브 검색결과에 수차례 재노출되고, 대표 영상은 148K views를 보였다.</x:v>
      </x:c>
      <x:c r="J66" s="20" t="n">
        <x:v>93</x:v>
      </x:c>
      <x:c r="K66" s="12" t="str">
        <x:v>현행 동월 슬롯 중 낮은 근거 행이 있으며, 보강자료 후보가 기획/성과 신호를 보강함.</x:v>
      </x:c>
      <x:c r="L66" s="12" t="str">
        <x:v>라이브러리에는 추가. TOP 슬롯 quota가 필요하면 target 행을 우선 교체 검토.</x:v>
      </x:c>
      <x:c r="M66" s="12" t="str">
        <x:v>https://m.mydramawave.com/series/TkkrOs4966/HUyL2FLKPQ?from_source=sm
https://www.youtube.com/watch?v=SC921UxKlc0</x:v>
      </x:c>
    </x:row>
    <x:row r="67">
      <x:c r="A67" s="12" t="str">
        <x:v>2025-12</x:v>
      </x:c>
      <x:c r="B67" s="12" t="str">
        <x:v>DramaWave</x:v>
      </x:c>
      <x:c r="C67" s="12" t="str">
        <x:v>The Mafia King Wants Me</x:v>
      </x:c>
      <x:c r="D67" s="12" t="str">
        <x:v>NEW_SUPPLEMENT</x:v>
      </x:c>
      <x:c r="E67" s="12" t="str">
        <x:v>ADD + optional replace weak slot</x:v>
      </x:c>
      <x:c r="F67" s="12" t="str">
        <x:v>그대는 오아시스 / rank 3 / Low</x:v>
      </x:c>
      <x:c r="G67" s="12" t="str">
        <x:v>1. AI Micro-Dramas Go Global cluster (High); 2. Never Break a Queen’s Heart (Medium); 3. 그대는 오아시스 (Low)</x:v>
      </x:c>
      <x:c r="H67" s="12" t="str">
        <x:v>11월~12월 체류형 카드. 로그라인 동일.</x:v>
      </x:c>
      <x:c r="I67" s="12" t="str">
        <x:v>2026-05-15 기준 “5 months ago” 노출인 만큼 2025년 연말 강세 작품으로 보는 게 합리적이다. 대표 영상 조회는 121K~148K 수준으로 확인된다.</x:v>
      </x:c>
      <x:c r="J67" s="20" t="n">
        <x:v>93</x:v>
      </x:c>
      <x:c r="K67" s="12" t="str">
        <x:v>현행 동월 슬롯 중 낮은 근거 행이 있으며, 보강자료 후보가 기획/성과 신호를 보강함.</x:v>
      </x:c>
      <x:c r="L67" s="12" t="str">
        <x:v>라이브러리에는 추가. TOP 슬롯 quota가 필요하면 target 행을 우선 교체 검토.</x:v>
      </x:c>
      <x:c r="M67" s="12" t="str">
        <x:v>https://m.mydramawave.com/series/TkkrOs4966/HUyL2FLKPQ?from_source=sm
https://www.youtube.com/watch?v=SC921UxKlc0</x:v>
      </x:c>
    </x:row>
    <x:row r="68">
      <x:c r="A68" s="12" t="str">
        <x:v>2026-01</x:v>
      </x:c>
      <x:c r="B68" s="12" t="str">
        <x:v>DramaWave</x:v>
      </x:c>
      <x:c r="C68" s="12" t="str">
        <x:v>Wrong Sperm, Right Love</x:v>
      </x:c>
      <x:c r="D68" s="12" t="str">
        <x:v>NEW_SUPPLEMENT</x:v>
      </x:c>
      <x:c r="E68" s="12" t="str">
        <x:v>ADD + optional replace weak slot</x:v>
      </x:c>
      <x:c r="F68" s="12" t="str">
        <x:v>DramaWave YouTube Shorts catalog / rank 3 / Medium</x:v>
      </x:c>
      <x:c r="G68" s="12" t="str">
        <x:v>1. DramaWave AI launch/catalog phase (Medium); 2. When the Moon Hides Crown (High); 3. DramaWave YouTube Shorts catalog (Medium)</x:v>
      </x:c>
      <x:c r="H68" s="12" t="str">
        <x:v>2026년 초까지 끌고 갈 수 있는 하이컨셉 임신 멜로. 로그라인 동일.</x:v>
      </x:c>
      <x:c r="I68" s="12" t="str">
        <x:v>커뮤니티/플랫폼 재가공 영상이 빠르게 붙는 유형이지만, 공식 수치 자체는 미상.</x:v>
      </x:c>
      <x:c r="J68" s="20" t="n">
        <x:v>81</x:v>
      </x:c>
      <x:c r="K68" s="12" t="str">
        <x:v>현행 동월 슬롯 중 낮은 근거 행이 있으며, 보강자료 후보가 기획/성과 신호를 보강함.</x:v>
      </x:c>
      <x:c r="L68" s="12" t="str">
        <x:v>라이브러리에는 추가. TOP 슬롯 quota가 필요하면 target 행을 우선 교체 검토.</x:v>
      </x:c>
      <x:c r="M68" s="12" t="str">
        <x:v>https://m.mydramawave.com/series/wy5NhpK965/EmL3D8DA5T?from_page=home&amp;return_to=%2F
https://www.youtube.com/watch?v=7D7fO9R1FTg</x:v>
      </x:c>
    </x:row>
    <x:row r="69">
      <x:c r="A69" s="12" t="str">
        <x:v>2026-02</x:v>
      </x:c>
      <x:c r="B69" s="12" t="str">
        <x:v>DramaWave</x:v>
      </x:c>
      <x:c r="C69" s="12" t="str">
        <x:v>Attribute Seizer: Undead Overlord</x:v>
      </x:c>
      <x:c r="D69" s="12" t="str">
        <x:v>NEW_SUPPLEMENT</x:v>
      </x:c>
      <x:c r="E69" s="12" t="str">
        <x:v>ADD + optional replace weak slot</x:v>
      </x:c>
      <x:c r="F69" s="12" t="str">
        <x:v>Delta Force Queen Returns / rank 5 / High</x:v>
      </x:c>
      <x:c r="G69" s="12" t="str">
        <x:v>1. When the Moon Hides Crown (High); 2. Pucked by My Hockey Rival (High); 3. Traded to the Shadow Heir (High); 4. Marked by My Alpha Stepbrother (High); 5. Delta Force Queen Returns (High)</x:v>
      </x:c>
      <x:c r="H69" s="12" t="str">
        <x:v>① 최약체 네크로맨서가 특성 약탈 재능으로 언데드 군단을 키우는 게임형 판타지. ② 복싱 챔프가 공주로 깨어나는 메타 로맨스 판타지.</x:v>
      </x:c>
      <x:c r="I69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69" s="20" t="n">
        <x:v>81</x:v>
      </x:c>
      <x:c r="K69" s="12" t="str">
        <x:v>현행 동월 슬롯 중 낮은 근거 행이 있으며, 보강자료 후보가 기획/성과 신호를 보강함.</x:v>
      </x:c>
      <x:c r="L69" s="12" t="str">
        <x:v>라이브러리에는 추가. TOP 슬롯 quota가 필요하면 target 행을 우선 교체 검토.</x:v>
      </x:c>
      <x:c r="M69" s="12" t="str">
        <x:v>https://m.mydramawave.com/share/episode/V68OHym7Su?from=share&amp;language=en&amp;share_user_id=33300623871
https://ai.mydramawave.com/</x:v>
      </x:c>
    </x:row>
    <x:row r="70">
      <x:c r="A70" s="12" t="str">
        <x:v>2026-02</x:v>
      </x:c>
      <x:c r="B70" s="12" t="str">
        <x:v>DramaWave</x:v>
      </x:c>
      <x:c r="C70" s="12" t="str">
        <x:v>The Mighty Lady Fixes the Manor</x:v>
      </x:c>
      <x:c r="D70" s="12" t="str">
        <x:v>NEW_SUPPLEMENT</x:v>
      </x:c>
      <x:c r="E70" s="12" t="str">
        <x:v>ADD + optional replace weak slot</x:v>
      </x:c>
      <x:c r="F70" s="12" t="str">
        <x:v>Delta Force Queen Returns / rank 5 / High</x:v>
      </x:c>
      <x:c r="G70" s="12" t="str">
        <x:v>1. When the Moon Hides Crown (High); 2. Pucked by My Hockey Rival (High); 3. Traded to the Shadow Heir (High); 4. Marked by My Alpha Stepbrother (High); 5. Delta Force Queen Returns (High)</x:v>
      </x:c>
      <x:c r="H70" s="12" t="str">
        <x:v>① 최약체 네크로맨서가 특성 약탈 재능으로 언데드 군단을 키우는 게임형 판타지. ② 복싱 챔프가 공주로 깨어나는 메타 로맨스 판타지.</x:v>
      </x:c>
      <x:c r="I70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70" s="20" t="n">
        <x:v>81</x:v>
      </x:c>
      <x:c r="K70" s="12" t="str">
        <x:v>현행 동월 슬롯 중 낮은 근거 행이 있으며, 보강자료 후보가 기획/성과 신호를 보강함.</x:v>
      </x:c>
      <x:c r="L70" s="12" t="str">
        <x:v>라이브러리에는 추가. TOP 슬롯 quota가 필요하면 target 행을 우선 교체 검토.</x:v>
      </x:c>
      <x:c r="M70" s="12" t="str">
        <x:v>https://m.mydramawave.com/share/episode/V68OHym7Su?from=share&amp;language=en&amp;share_user_id=33300623871
https://ai.mydramawave.com/</x:v>
      </x:c>
    </x:row>
    <x:row r="71">
      <x:c r="A71" s="12" t="str">
        <x:v>2026-03</x:v>
      </x:c>
      <x:c r="B71" s="12" t="str">
        <x:v>DramaWave</x:v>
      </x:c>
      <x:c r="C71" s="12" t="str">
        <x:v>Daddy, Can You Hear Me Cry?</x:v>
      </x:c>
      <x:c r="D71" s="12" t="str">
        <x:v>NEW_SUPPLEMENT</x:v>
      </x:c>
      <x:c r="E71" s="12" t="str">
        <x:v>ADD + optional replace weak slot</x:v>
      </x:c>
      <x:c r="F71" s="12" t="str">
        <x:v>When the Moon Hides Crown / rank 5 / High</x:v>
      </x:c>
      <x:c r="G71" s="12" t="str">
        <x:v>1. Delta Force Queen Returns (High); 2. Traded to the Shadow Heir (High); 3. Marked by My Alpha Stepbrother (High); 4. Pucked by My Hockey Rival (High); 5. When the Moon Hides Crown (High)</x:v>
      </x:c>
      <x:c r="H71" s="12" t="str">
        <x:v>① 억울한 수감·바꿔치기 딸 찾기 가족극. ② 신장 기증과 오해로 가족이 갈라지는 비극 멜로. 태그: family separation, child swap, regret.</x:v>
      </x:c>
      <x:c r="I71" s="12" t="str">
        <x:v>공식 유튜브에서 Daddy, Can You Hear Me Cry?는 580K views, Mommy, Why Does Daddy Hate Me는 380K views급 노출이 확인된다.</x:v>
      </x:c>
      <x:c r="J71" s="20" t="n">
        <x:v>93</x:v>
      </x:c>
      <x:c r="K71" s="12" t="str">
        <x:v>현행 동월 슬롯 중 낮은 근거 행이 있으며, 보강자료 후보가 기획/성과 신호를 보강함.</x:v>
      </x:c>
      <x:c r="L71" s="12" t="str">
        <x:v>라이브러리에는 추가. TOP 슬롯 quota가 필요하면 target 행을 우선 교체 검토.</x:v>
      </x:c>
      <x:c r="M71" s="12" t="str">
        <x:v>https://m.mydramawave.com/series/zL0Gm3Qwvt/HoBoGlcdux
https://www.youtube.com/watch?v=JCo8lNQ1eBk</x:v>
      </x:c>
    </x:row>
    <x:row r="72">
      <x:c r="A72" s="12" t="str">
        <x:v>2026-03</x:v>
      </x:c>
      <x:c r="B72" s="12" t="str">
        <x:v>DramaWave</x:v>
      </x:c>
      <x:c r="C72" s="12" t="str">
        <x:v>Mommy, Why Does Daddy Hate Me</x:v>
      </x:c>
      <x:c r="D72" s="12" t="str">
        <x:v>NEW_SUPPLEMENT</x:v>
      </x:c>
      <x:c r="E72" s="12" t="str">
        <x:v>ADD + optional replace weak slot</x:v>
      </x:c>
      <x:c r="F72" s="12" t="str">
        <x:v>When the Moon Hides Crown / rank 5 / High</x:v>
      </x:c>
      <x:c r="G72" s="12" t="str">
        <x:v>1. Delta Force Queen Returns (High); 2. Traded to the Shadow Heir (High); 3. Marked by My Alpha Stepbrother (High); 4. Pucked by My Hockey Rival (High); 5. When the Moon Hides Crown (High)</x:v>
      </x:c>
      <x:c r="H72" s="12" t="str">
        <x:v>① 억울한 수감·바꿔치기 딸 찾기 가족극. ② 신장 기증과 오해로 가족이 갈라지는 비극 멜로. 태그: family separation, child swap, regret.</x:v>
      </x:c>
      <x:c r="I72" s="12" t="str">
        <x:v>공식 유튜브에서 Daddy, Can You Hear Me Cry?는 580K views, Mommy, Why Does Daddy Hate Me는 380K views급 노출이 확인된다.</x:v>
      </x:c>
      <x:c r="J72" s="20" t="n">
        <x:v>93</x:v>
      </x:c>
      <x:c r="K72" s="12" t="str">
        <x:v>현행 동월 슬롯 중 낮은 근거 행이 있으며, 보강자료 후보가 기획/성과 신호를 보강함.</x:v>
      </x:c>
      <x:c r="L72" s="12" t="str">
        <x:v>라이브러리에는 추가. TOP 슬롯 quota가 필요하면 target 행을 우선 교체 검토.</x:v>
      </x:c>
      <x:c r="M72" s="12" t="str">
        <x:v>https://m.mydramawave.com/series/zL0Gm3Qwvt/HoBoGlcdux
https://www.youtube.com/watch?v=JCo8lNQ1eBk</x:v>
      </x:c>
    </x:row>
    <x:row r="73">
      <x:c r="A73" s="12" t="str">
        <x:v>2026-04</x:v>
      </x:c>
      <x:c r="B73" s="12" t="str">
        <x:v>DramaWave</x:v>
      </x:c>
      <x:c r="C73" s="12" t="str">
        <x:v>Baby Daddy at the Front Desk</x:v>
      </x:c>
      <x:c r="D73" s="12" t="str">
        <x:v>NEW_SUPPLEMENT</x:v>
      </x:c>
      <x:c r="E73" s="12" t="str">
        <x:v>ADD + optional replace weak slot</x:v>
      </x:c>
      <x:c r="F73" s="12" t="str">
        <x:v>The Mafia Boss's Regret / rank 4 / Medium</x:v>
      </x:c>
      <x:c r="G73" s="12" t="str">
        <x:v>1. Never Break A Queen’s Heart (High); 2. Contract Marriage with the Arms Tycoon (High); 3. Taming My Enemy Hockey Captain (High); 4. The Mafia Boss's Regret (Medium); 5. When the Moon Hides Crown (High)</x:v>
      </x:c>
      <x:c r="H73" s="12" t="str">
        <x:v>① 가난한 아이비가 CEO 브라이언과 하룻밤 뒤 쌍둥이를 낳고, 7년 후 시어머니가 진실을 알아채는 작품. ② 게임형 언데드 성장물.</x:v>
      </x:c>
      <x:c r="I73" s="12" t="str">
        <x:v>Baby Daddy at the Front Desk 공식 유튜브는 32K~33K views급이 확인된다. AI 직접 증거는 없지만, DramaWave의 AI 프로그램과 가장 잘 맞는 포맷이다.</x:v>
      </x:c>
      <x:c r="J73" s="20" t="n">
        <x:v>89</x:v>
      </x:c>
      <x:c r="K73" s="12" t="str">
        <x:v>현행 동월 슬롯 중 낮은 근거 행이 있으며, 보강자료 후보가 기획/성과 신호를 보강함.</x:v>
      </x:c>
      <x:c r="L73" s="12" t="str">
        <x:v>라이브러리에는 추가. TOP 슬롯 quota가 필요하면 target 행을 우선 교체 검토.</x:v>
      </x:c>
      <x:c r="M73" s="12" t="str">
        <x:v>https://www.youtube.com/watch?v=FZhfgMsmNS8
https://www.youtube.com/watch?v=988xiYTL-cI</x:v>
      </x:c>
    </x:row>
    <x:row r="74">
      <x:c r="A74" s="12" t="str">
        <x:v>2026-04</x:v>
      </x:c>
      <x:c r="B74" s="12" t="str">
        <x:v>DramaWave</x:v>
      </x:c>
      <x:c r="C74" s="12" t="str">
        <x:v>Attribute Seizer: Undead Overlord</x:v>
      </x:c>
      <x:c r="D74" s="12" t="str">
        <x:v>NEW_SUPPLEMENT</x:v>
      </x:c>
      <x:c r="E74" s="12" t="str">
        <x:v>ADD + optional replace weak slot</x:v>
      </x:c>
      <x:c r="F74" s="12" t="str">
        <x:v>The Mafia Boss's Regret / rank 4 / Medium</x:v>
      </x:c>
      <x:c r="G74" s="12" t="str">
        <x:v>1. Never Break A Queen’s Heart (High); 2. Contract Marriage with the Arms Tycoon (High); 3. Taming My Enemy Hockey Captain (High); 4. The Mafia Boss's Regret (Medium); 5. When the Moon Hides Crown (High)</x:v>
      </x:c>
      <x:c r="H74" s="12" t="str">
        <x:v>① 가난한 아이비가 CEO 브라이언과 하룻밤 뒤 쌍둥이를 낳고, 7년 후 시어머니가 진실을 알아채는 작품. ② 게임형 언데드 성장물.</x:v>
      </x:c>
      <x:c r="I74" s="12" t="str">
        <x:v>Baby Daddy at the Front Desk 공식 유튜브는 32K~33K views급이 확인된다. AI 직접 증거는 없지만, DramaWave의 AI 프로그램과 가장 잘 맞는 포맷이다.</x:v>
      </x:c>
      <x:c r="J74" s="20" t="n">
        <x:v>89</x:v>
      </x:c>
      <x:c r="K74" s="12" t="str">
        <x:v>현행 동월 슬롯 중 낮은 근거 행이 있으며, 보강자료 후보가 기획/성과 신호를 보강함.</x:v>
      </x:c>
      <x:c r="L74" s="12" t="str">
        <x:v>라이브러리에는 추가. TOP 슬롯 quota가 필요하면 target 행을 우선 교체 검토.</x:v>
      </x:c>
      <x:c r="M74" s="12" t="str">
        <x:v>https://www.youtube.com/watch?v=FZhfgMsmNS8
https://www.youtube.com/watch?v=988xiYTL-cI</x:v>
      </x:c>
    </x:row>
    <x:row r="75">
      <x:c r="A75" s="12" t="str">
        <x:v>2026-05</x:v>
      </x:c>
      <x:c r="B75" s="12" t="str">
        <x:v>DramaWave</x:v>
      </x:c>
      <x:c r="C75" s="12" t="str">
        <x:v>Wrong Sperm, Right Love II</x:v>
      </x:c>
      <x:c r="D75" s="12" t="str">
        <x:v>NEW_SUPPLEMENT</x:v>
      </x:c>
      <x:c r="E75" s="12" t="str">
        <x:v>ADD as supplemental reference</x:v>
      </x:c>
      <x:c r="F75" s="12" t="str"/>
      <x:c r="G75" s="12" t="str">
        <x:v>1. Pucked by My Hockey Rival (High); 2. When the Moon Hides Crown (High); 3. Traded to the Shadow Heir (High); 4. Never Break A Queen’s Heart (High); 5. Delta Force Queen Returns (High)</x:v>
      </x:c>
      <x:c r="H75" s="12" t="str">
        <x:v>① 정자 바꿔치기로 적대 마피아 보스의 아이를 갖게 된 에블린의 후속 하이컨셉 멜로. ② 공주 빙의 세계관물.</x:v>
      </x:c>
      <x:c r="I75" s="12" t="str">
        <x:v>5월 말까지 AI 콘테스트가 진행 중이라, 5월 편성은 “실사 감정멜로 1편 + 애니/세계관형 1편” 조합이 가장 실험 효율이 높다.</x:v>
      </x:c>
      <x:c r="J75" s="20" t="n">
        <x:v>73</x:v>
      </x:c>
      <x:c r="K75" s="12" t="str">
        <x:v>현행 슬롯도 강하거나 보강자료의 정량성이 낮아 직접 교체 근거는 부족.</x:v>
      </x:c>
      <x:c r="L75" s="12" t="str">
        <x:v>별도 참고 행으로 보존하고 추가 검증 후 승격.</x:v>
      </x:c>
      <x:c r="M75" s="12" t="str">
        <x:v>https://www.youtube.com/watch?v=mEbpWifrg2w
https://ai.mydramawave.com/p/activity/?language=en</x:v>
      </x:c>
    </x:row>
    <x:row r="76">
      <x:c r="A76" s="12" t="str">
        <x:v>2026-05</x:v>
      </x:c>
      <x:c r="B76" s="12" t="str">
        <x:v>DramaWave</x:v>
      </x:c>
      <x:c r="C76" s="12" t="str">
        <x:v>The Mighty Lady Fixes the Manor</x:v>
      </x:c>
      <x:c r="D76" s="12" t="str">
        <x:v>NEW_SUPPLEMENT</x:v>
      </x:c>
      <x:c r="E76" s="12" t="str">
        <x:v>ADD as supplemental reference</x:v>
      </x:c>
      <x:c r="F76" s="12" t="str"/>
      <x:c r="G76" s="12" t="str">
        <x:v>1. Pucked by My Hockey Rival (High); 2. When the Moon Hides Crown (High); 3. Traded to the Shadow Heir (High); 4. Never Break A Queen’s Heart (High); 5. Delta Force Queen Returns (High)</x:v>
      </x:c>
      <x:c r="H76" s="12" t="str">
        <x:v>① 정자 바꿔치기로 적대 마피아 보스의 아이를 갖게 된 에블린의 후속 하이컨셉 멜로. ② 공주 빙의 세계관물.</x:v>
      </x:c>
      <x:c r="I76" s="12" t="str">
        <x:v>5월 말까지 AI 콘테스트가 진행 중이라, 5월 편성은 “실사 감정멜로 1편 + 애니/세계관형 1편” 조합이 가장 실험 효율이 높다.</x:v>
      </x:c>
      <x:c r="J76" s="20" t="n">
        <x:v>73</x:v>
      </x:c>
      <x:c r="K76" s="12" t="str">
        <x:v>현행 슬롯도 강하거나 보강자료의 정량성이 낮아 직접 교체 근거는 부족.</x:v>
      </x:c>
      <x:c r="L76" s="12" t="str">
        <x:v>별도 참고 행으로 보존하고 추가 검증 후 승격.</x:v>
      </x:c>
      <x:c r="M76" s="12" t="str">
        <x:v>https://www.youtube.com/watch?v=mEbpWifrg2w
https://ai.mydramawave.com/p/activity/?language=en</x:v>
      </x:c>
    </x:row>
  </x:sheetData>
  <x:conditionalFormatting sqref="J2:J7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2:E76">
    <x:cfRule type="expression" dxfId="5" priority="2">
      <x:formula>ISNUMBER(SEARCH("optional replace",$E2))</x:formula>
    </x:cfRule>
    <x:cfRule type="expression" dxfId="6" priority="3">
      <x:formula>ISNUMBER(SEARCH("MERGE",$E2))</x:formula>
    </x:cfRule>
    <x:cfRule type="expression" dxfId="7" priority="4">
      <x:formula>ISNUMBER(SEARCH("repeated",$E2))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bb2d9b27f840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6899995803833" hidden="0" customWidth="1"/>
    <x:col min="3" max="3" width="28" hidden="0" customWidth="1"/>
    <x:col min="4" max="4" width="34" hidden="0" customWidth="1"/>
    <x:col min="5" max="5" width="29.209999084472656" hidden="0" customWidth="1"/>
    <x:col min="6" max="6" width="36" hidden="0" customWidth="1"/>
    <x:col min="7" max="7" width="40" hidden="0" customWidth="1"/>
    <x:col min="8" max="8" width="44" hidden="0" customWidth="1"/>
    <x:col min="9" max="9" width="15.210000038146973" hidden="0" customWidth="1"/>
    <x:col min="10" max="10" width="8.75" hidden="0" customWidth="1"/>
    <x:col min="11" max="11" width="46" hidden="0" customWidth="1"/>
    <x:col min="12" max="12" width="32" hidden="0" customWidth="1"/>
  </x:cols>
  <x:sheetData>
    <x:row r="1">
      <x:c r="A1" s="41" t="str">
        <x:v>month</x:v>
      </x:c>
      <x:c r="B1" s="41" t="str">
        <x:v>platform</x:v>
      </x:c>
      <x:c r="C1" s="41" t="str">
        <x:v>clean_title</x:v>
      </x:c>
      <x:c r="D1" s="41" t="str">
        <x:v>aigc_status</x:v>
      </x:c>
      <x:c r="E1" s="41" t="str">
        <x:v>target_bucket</x:v>
      </x:c>
      <x:c r="F1" s="41" t="str">
        <x:v>genre_trope</x:v>
      </x:c>
      <x:c r="G1" s="41" t="str">
        <x:v>aigc_leverage</x:v>
      </x:c>
      <x:c r="H1" s="41" t="str">
        <x:v>performance_signal</x:v>
      </x:c>
      <x:c r="I1" s="41" t="str">
        <x:v>evidence_score</x:v>
      </x:c>
      <x:c r="J1" s="41" t="str">
        <x:v>priority</x:v>
      </x:c>
      <x:c r="K1" s="41" t="str">
        <x:v>source_urls</x:v>
      </x:c>
      <x:c r="L1" s="41" t="str">
        <x:v>research_next_step</x:v>
      </x:c>
    </x:row>
    <x:row r="2" ht="48" customHeight="1">
      <x:c r="A2" s="12" t="str">
        <x:v>2026-03</x:v>
      </x:c>
      <x:c r="B2" s="12" t="str">
        <x:v>NetShort</x:v>
      </x:c>
      <x:c r="C2" s="12" t="str">
        <x:v>One Move God Mode</x:v>
      </x:c>
      <x:c r="D2" s="12" t="str">
        <x:v>Direct/Explicit AI</x:v>
      </x:c>
      <x:c r="E2" s="12" t="str">
        <x:v>Male / AI western fantasy</x:v>
      </x:c>
      <x:c r="F2" s="12" t="str">
        <x:v>Urban Fantasy / Underdog Rise / Greek myth / God-blood</x:v>
      </x:c>
      <x:c r="G2" s="12" t="str">
        <x:v>High: AI/VFX 스케일·신화 몬스터·전투 연출을 핵심 상품으로 사용.</x:v>
      </x:c>
      <x:c r="H2" s="12" t="str">
        <x:v>2026 Q1 AI drama 대표 케이스; NetShort 공식 full/episode page 확인.</x:v>
      </x:c>
      <x:c r="I2" s="20" t="n">
        <x:v>100</x:v>
      </x:c>
      <x:c r="J2" s="12" t="str">
        <x:v>A_Core</x:v>
      </x:c>
      <x:c r="K2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L2" s="12" t="str">
        <x:v>제작방식 캡처/광고 소재 원본 확인 후 Direct 또는 Candidate 등급 조정.</x:v>
      </x:c>
    </x:row>
    <x:row r="3" ht="48" customHeight="1">
      <x:c r="A3" s="12" t="str">
        <x:v>2026-04</x:v>
      </x:c>
      <x:c r="B3" s="12" t="str">
        <x:v>NetShort</x:v>
      </x:c>
      <x:c r="C3" s="12" t="str">
        <x:v>The Discarded Ace</x:v>
      </x:c>
      <x:c r="D3" s="12" t="str">
        <x:v>Direct/Explicit AI</x:v>
      </x:c>
      <x:c r="E3" s="12" t="str">
        <x:v>Male / AI outcast revenge</x:v>
      </x:c>
      <x:c r="F3" s="12" t="str">
        <x:v>Gambling / Outcast heir / Stunt fantasy / Family guardian</x:v>
      </x:c>
      <x:c r="G3" s="12" t="str">
        <x:v>High: TopMarketing reports it as NetShort AI representative; facial emotion/micro-expression quality noted.</x:v>
      </x:c>
      <x:c r="H3" s="12" t="str">
        <x:v>TopMarketing identifies it alongside One Move as NetShort AI representative; official full page verified.</x:v>
      </x:c>
      <x:c r="I3" s="20" t="n">
        <x:v>100</x:v>
      </x:c>
      <x:c r="J3" s="12" t="str">
        <x:v>A_Core</x:v>
      </x:c>
      <x:c r="K3" s="12" t="str">
        <x:v>https://netshort.com/full-episodes/the-discarded-ace-2041056545067761666
https://www.itopmarketing.com/info22317</x:v>
      </x:c>
      <x:c r="L3" s="12" t="str">
        <x:v>제작방식 캡처/광고 소재 원본 확인 후 Direct 또는 Candidate 등급 조정.</x:v>
      </x:c>
    </x:row>
    <x:row r="4" ht="48" customHeight="1">
      <x:c r="A4" s="12" t="str">
        <x:v>2026-03</x:v>
      </x:c>
      <x:c r="B4" s="12" t="str">
        <x:v>NetShort</x:v>
      </x:c>
      <x:c r="C4" s="12" t="str">
        <x:v>說好的乙遊戀愛呢？執事怎麼全員黑化了！</x:v>
      </x:c>
      <x:c r="D4" s="12" t="str">
        <x:v>Direct/Explicit AI/animation report; official page still to verify</x:v>
      </x:c>
      <x:c r="E4" s="12" t="str">
        <x:v>Female / Otome animation</x:v>
      </x:c>
      <x:c r="F4" s="12" t="str">
        <x:v>Otome game / System / Darkening butlers</x:v>
      </x:c>
      <x:c r="G4" s="12" t="str">
        <x:v>High: DataEye/industry articles identify it as overseas animation/AI-comic benchmark.</x:v>
      </x:c>
      <x:c r="H4" s="12" t="str">
        <x:v>Industry report says Q1 material volume exceeded 40k and cites NetShort as main app.</x:v>
      </x:c>
      <x:c r="I4" s="20" t="n">
        <x:v>96</x:v>
      </x:c>
      <x:c r="J4" s="12" t="str">
        <x:v>A_Core</x:v>
      </x:c>
      <x:c r="K4" s="12" t="str">
        <x:v>https://m.36kr.com/p/3788967460729604
https://www.itopmarketing.com/info22317</x:v>
      </x:c>
      <x:c r="L4" s="12" t="str">
        <x:v>NetShort official title page/English title mapping required.</x:v>
      </x:c>
    </x:row>
    <x:row r="5" ht="48" customHeight="1">
      <x:c r="A5" s="12" t="str">
        <x:v>2026-05</x:v>
      </x:c>
      <x:c r="B5" s="12" t="str">
        <x:v>NetShort</x:v>
      </x:c>
      <x:c r="C5" s="12" t="str">
        <x:v>Rusty Ring To Royal Crown</x:v>
      </x:c>
      <x:c r="D5" s="12" t="str">
        <x:v>Animation/VFX candidate; production AIGC unconfirmed</x:v>
      </x:c>
      <x:c r="E5" s="12" t="str">
        <x:v>Female / Rebirth fantasy</x:v>
      </x:c>
      <x:c r="F5" s="12" t="str">
        <x:v>Rebirth / Karma Payback / Elf king reveal / Hidden royalty</x:v>
      </x:c>
      <x:c r="G5" s="12" t="str">
        <x:v>High candidate: 왕관·엘프·마법 반전 비주얼은 AIGC/애니 제작 효율이 높음. 제작 확정은 미확인.</x:v>
      </x:c>
      <x:c r="H5" s="12" t="str">
        <x:v>Official full/episode/hotseries pages; blog/hotseries says 2-4 days ago.</x:v>
      </x:c>
      <x:c r="I5" s="20" t="n">
        <x:v>98</x:v>
      </x:c>
      <x:c r="J5" s="12" t="str">
        <x:v>A_Core</x:v>
      </x:c>
      <x:c r="K5" s="12" t="str">
        <x:v>https://netshort.com/full-episodes/rusty-ring-to-royal-crown-2053693307476770818
https://netshort.com/hotseries/rusty-ring-to-royal-crown-2053693307476770818</x:v>
      </x:c>
      <x:c r="L5" s="12" t="str">
        <x:v>제작방식 캡처/광고 소재 원본 확인 후 Direct 또는 Candidate 등급 조정.</x:v>
      </x:c>
    </x:row>
    <x:row r="6" ht="48" customHeight="1">
      <x:c r="A6" s="12" t="str">
        <x:v>2026-05</x:v>
      </x:c>
      <x:c r="B6" s="12" t="str">
        <x:v>NetShort</x:v>
      </x:c>
      <x:c r="C6" s="12" t="str">
        <x:v>The Daughter Who Commands Dragon</x:v>
      </x:c>
      <x:c r="D6" s="12" t="str">
        <x:v>Animation/VFX candidate; production AIGC unconfirmed</x:v>
      </x:c>
      <x:c r="E6" s="12" t="str">
        <x:v>Female / Fantasy empowerment</x:v>
      </x:c>
      <x:c r="F6" s="12" t="str">
        <x:v>Female Empowerment / Underdog Rise / Dragon magic / Patriarchal revenge</x:v>
      </x:c>
      <x:c r="G6" s="12" t="str">
        <x:v>High candidate: 드래곤·마법·대규모 전투는 AIGC/애니 제작 효율이 높은 소재. 단 제작 확정은 미확인.</x:v>
      </x:c>
      <x:c r="H6" s="12" t="str">
        <x:v>NetShort fantasy/current recommendation and episode review recency 확인.</x:v>
      </x:c>
      <x:c r="I6" s="20" t="n">
        <x:v>98</x:v>
      </x:c>
      <x:c r="J6" s="12" t="str">
        <x:v>A_Core</x:v>
      </x:c>
      <x:c r="K6" s="12" t="str">
        <x:v>https://netshort.com/episode/the-daughter-who-commands-dragon-2052226077232726017
https://netshort.com/hotseries/the-daughter-who-commands-dragon-2052226077232726017
https://netshort.com/drama/all-plots</x:v>
      </x:c>
      <x:c r="L6" s="12" t="str">
        <x:v>제작방식 캡처/광고 소재 원본 확인 후 Direct 또는 Candidate 등급 조정.</x:v>
      </x:c>
    </x:row>
    <x:row r="7" ht="48" customHeight="1">
      <x:c r="A7" s="12" t="str">
        <x:v>2026-04</x:v>
      </x:c>
      <x:c r="B7" s="12" t="str">
        <x:v>NetShort</x:v>
      </x:c>
      <x:c r="C7" s="12" t="str">
        <x:v>Watch Out! She's the Daughter of Zeus</x:v>
      </x:c>
      <x:c r="D7" s="12" t="str">
        <x:v>Animation/VFX candidate; production AIGC unconfirmed</x:v>
      </x:c>
      <x:c r="E7" s="12" t="str">
        <x:v>Female / Myth fantasy romance</x:v>
      </x:c>
      <x:c r="F7" s="12" t="str">
        <x:v>Greek myth / Daughter of Zeus / Betrayed goddess / Crowned weak husband</x:v>
      </x:c>
      <x:c r="G7" s="12" t="str">
        <x:v>High candidate: 제우스·신성 권능·왕관 연출은 AIGC/VFX 후보. 제작 확정은 미확인.</x:v>
      </x:c>
      <x:c r="H7" s="12" t="str">
        <x:v>Official full/episode/hotseries pages; Apr 22 hotseries signal.</x:v>
      </x:c>
      <x:c r="I7" s="20" t="n">
        <x:v>97</x:v>
      </x:c>
      <x:c r="J7" s="12" t="str">
        <x:v>A_Core</x:v>
      </x:c>
      <x:c r="K7" s="12" t="str">
        <x:v>https://netshort.com/full-episodes/watch-out-shes-the-daughter-of-zeus-2046485225499787265
https://netshort.com/hotseries/watch-out-shes-the-daughter-of-zeus-2046485225499787265</x:v>
      </x:c>
      <x:c r="L7" s="12" t="str">
        <x:v>제작방식 캡처/광고 소재 원본 확인 후 Direct 또는 Candidate 등급 조정.</x:v>
      </x:c>
    </x:row>
    <x:row r="8" ht="48" customHeight="1">
      <x:c r="A8" s="12" t="str">
        <x:v>2026-05</x:v>
      </x:c>
      <x:c r="B8" s="12" t="str">
        <x:v>NetShort</x:v>
      </x:c>
      <x:c r="C8" s="12" t="str">
        <x:v>Go Ahead, Ghouls, Hit Me</x:v>
      </x:c>
      <x:c r="D8" s="12" t="str">
        <x:v>Animation/VFX candidate; production AIGC unconfirmed</x:v>
      </x:c>
      <x:c r="E8" s="12" t="str">
        <x:v>Male / System horror comedy</x:v>
      </x:c>
      <x:c r="F8" s="12" t="str">
        <x:v>Urban Fantasy / Underdog Rise / Ghoul / System rewards</x:v>
      </x:c>
      <x:c r="G8" s="12" t="str">
        <x:v>High candidate: 귀신·시스템 UI·액션 코미디는 AIGC/애니 확장성이 큼. 제작 확정은 미확인.</x:v>
      </x:c>
      <x:c r="H8" s="12" t="str">
        <x:v>Official full/hotseries pages; hotseries listed 23h/1d ago.</x:v>
      </x:c>
      <x:c r="I8" s="20" t="n">
        <x:v>96</x:v>
      </x:c>
      <x:c r="J8" s="12" t="str">
        <x:v>A_Core</x:v>
      </x:c>
      <x:c r="K8" s="12" t="str">
        <x:v>https://netshort.com/full-episodes/go-ahead-ghouls-hit-me-2053776632522473473
https://netshort.com/hotseries/go-ahead-ghouls-hit-me-2053776632522473473</x:v>
      </x:c>
      <x:c r="L8" s="12" t="str">
        <x:v>제작방식 캡처/광고 소재 원본 확인 후 Direct 또는 Candidate 등급 조정.</x:v>
      </x:c>
    </x:row>
    <x:row r="9" ht="48" customHeight="1">
      <x:c r="A9" s="12" t="str">
        <x:v>2026-05</x:v>
      </x:c>
      <x:c r="B9" s="12" t="str">
        <x:v>NetShort</x:v>
      </x:c>
      <x:c r="C9" s="12" t="str">
        <x:v>I AM THE LAST SAVIOR</x:v>
      </x:c>
      <x:c r="D9" s="12" t="str">
        <x:v>Animation/VFX candidate; production AIGC unconfirmed</x:v>
      </x:c>
      <x:c r="E9" s="12" t="str">
        <x:v>Male / Sci-Fi family action</x:v>
      </x:c>
      <x:c r="F9" s="12" t="str">
        <x:v>Sci-Fi / Karma Payback / Hidden war lord / Family reunion</x:v>
      </x:c>
      <x:c r="G9" s="12" t="str">
        <x:v>High candidate: official/review snippets reference animated storytelling/high production; production AIGC unconfirmed.</x:v>
      </x:c>
      <x:c r="H9" s="12" t="str">
        <x:v>Official full/hotseries pages surfaced as current all-plots Sci-Fi/Karma Payback title.</x:v>
      </x:c>
      <x:c r="I9" s="20" t="n">
        <x:v>96</x:v>
      </x:c>
      <x:c r="J9" s="12" t="str">
        <x:v>A_Core</x:v>
      </x:c>
      <x:c r="K9" s="12" t="str">
        <x:v>https://netshort.com/full-episodes/i-am-the-last-savior-2054765358626504705
https://netshort.com/hotseries/i-am-the-last-savior-2054765358626504705
https://netshort.com/drama/all-plots</x:v>
      </x:c>
      <x:c r="L9" s="12" t="str">
        <x:v>제작방식 캡처/광고 소재 원본 확인 후 Direct 또는 Candidate 등급 조정.</x:v>
      </x:c>
    </x:row>
    <x:row r="10" ht="48" customHeight="1">
      <x:c r="A10" s="12" t="str">
        <x:v>2026-04</x:v>
      </x:c>
      <x:c r="B10" s="12" t="str">
        <x:v>NetShort</x:v>
      </x:c>
      <x:c r="C10" s="12" t="str">
        <x:v>F Rank? I Got a God-Tier System!</x:v>
      </x:c>
      <x:c r="D10" s="12" t="str">
        <x:v>Animation/VFX candidate; production AIGC unconfirmed</x:v>
      </x:c>
      <x:c r="E10" s="12" t="str">
        <x:v>Male / System apocalypse</x:v>
      </x:c>
      <x:c r="F10" s="12" t="str">
        <x:v>Life OL / Monster apocalypse / God-tier system / Ex regret</x:v>
      </x:c>
      <x:c r="G10" s="12" t="str">
        <x:v>High candidate: system UI·몬스터·이세계 액션은 AIGC/애니 후보. Episode review references animation quality.</x:v>
      </x:c>
      <x:c r="H10" s="12" t="str">
        <x:v>Official full/episode pages; Life OL category and episode reviews mention animation quality.</x:v>
      </x:c>
      <x:c r="I10" s="20" t="n">
        <x:v>95</x:v>
      </x:c>
      <x:c r="J10" s="12" t="str">
        <x:v>A_Core</x:v>
      </x:c>
      <x:c r="K10" s="12" t="str">
        <x:v>https://netshort.com/full-episodes/f-rank-i-got-a-god-tier-system-2045675333096570882</x:v>
      </x:c>
      <x:c r="L10" s="12" t="str">
        <x:v>제작방식 캡처/광고 소재 원본 확인 후 Direct 또는 Candidate 등급 조정.</x:v>
      </x:c>
    </x:row>
    <x:row r="11" ht="48" customHeight="1">
      <x:c r="A11" s="12" t="str">
        <x:v>2026-05</x:v>
      </x:c>
      <x:c r="B11" s="12" t="str">
        <x:v>NetShort</x:v>
      </x:c>
      <x:c r="C11" s="12" t="str">
        <x:v>They See Terror, I See Beauties!</x:v>
      </x:c>
      <x:c r="D11" s="12" t="str">
        <x:v>Animation/VFX candidate; production AIGC unconfirmed</x:v>
      </x:c>
      <x:c r="E11" s="12" t="str">
        <x:v>Male / Horror fantasy harem</x:v>
      </x:c>
      <x:c r="F11" s="12" t="str">
        <x:v>Fantasy World / Ghost world / Horror comedy / Beauty conversion</x:v>
      </x:c>
      <x:c r="G11" s="12" t="str">
        <x:v>High candidate: 귀신·공포 세계·판타지 이펙트는 AIGC/애니 활용 가치가 큼. 제작 확정은 미확인.</x:v>
      </x:c>
      <x:c r="H11" s="12" t="str">
        <x:v>Official full/episode pages; current recommendation adjacency to Bye Cult/Last Savior.</x:v>
      </x:c>
      <x:c r="I11" s="20" t="n">
        <x:v>95</x:v>
      </x:c>
      <x:c r="J11" s="12" t="str">
        <x:v>A_Core</x:v>
      </x:c>
      <x:c r="K11" s="12" t="str">
        <x:v>https://netshort.com/full-episodes/they-see-terror-i-see-beauties-2054045783550853122
https://netshort.com/drama/all-plots</x:v>
      </x:c>
      <x:c r="L11" s="12" t="str">
        <x:v>제작방식 캡처/광고 소재 원본 확인 후 Direct 또는 Candidate 등급 조정.</x:v>
      </x:c>
    </x:row>
    <x:row r="12" ht="48" customHeight="1">
      <x:c r="A12" s="12" t="str">
        <x:v>2026-04</x:v>
      </x:c>
      <x:c r="B12" s="12" t="str">
        <x:v>NetShort</x:v>
      </x:c>
      <x:c r="C12" s="12" t="str">
        <x:v>A Pet Turtle? The Supreme Beast!</x:v>
      </x:c>
      <x:c r="D12" s="12" t="str">
        <x:v>Animation/VFX candidate; production AIGC unconfirmed</x:v>
      </x:c>
      <x:c r="E12" s="12" t="str">
        <x:v>Male / Beast-taming system</x:v>
      </x:c>
      <x:c r="F12" s="12" t="str">
        <x:v>Eastern Fantasy / Underdog Rise / Beast taming / Sister rescue</x:v>
      </x:c>
      <x:c r="G12" s="12" t="str">
        <x:v>High candidate: 마수·소환·전투 이펙트가 강함. Episode review references crisp animation style.</x:v>
      </x:c>
      <x:c r="H12" s="12" t="str">
        <x:v>Official episode pages; review snippets reference animation/style; current fantasy/system fit.</x:v>
      </x:c>
      <x:c r="I12" s="20" t="n">
        <x:v>94</x:v>
      </x:c>
      <x:c r="J12" s="12" t="str">
        <x:v>A_Core</x:v>
      </x:c>
      <x:c r="K12" s="12" t="str">
        <x:v>https://netshort.com/episode/a-pet-turtle-the-supreme-beast-2043959891072122881</x:v>
      </x:c>
      <x:c r="L12" s="12" t="str">
        <x:v>제작방식 캡처/광고 소재 원본 확인 후 Direct 또는 Candidate 등급 조정.</x:v>
      </x:c>
    </x:row>
    <x:row r="13" ht="48" customHeight="1">
      <x:c r="A13" s="12" t="str">
        <x:v>2026-05</x:v>
      </x:c>
      <x:c r="B13" s="12" t="str">
        <x:v>NetShort</x:v>
      </x:c>
      <x:c r="C13" s="12" t="str">
        <x:v>Death Game? Watch Me WIN!</x:v>
      </x:c>
      <x:c r="D13" s="12" t="str">
        <x:v>Animation/VFX candidate; production AIGC unconfirmed</x:v>
      </x:c>
      <x:c r="E13" s="12" t="str">
        <x:v>Male / Horror game survival</x:v>
      </x:c>
      <x:c r="F13" s="12" t="str">
        <x:v>Dark fantasy / Global death game / Monster survival / Genius counterplay</x:v>
      </x:c>
      <x:c r="G13" s="12" t="str">
        <x:v>High candidate: death-game UI·몬스터·공포 액션. Episode review mentions animation style blending horror/comedy.</x:v>
      </x:c>
      <x:c r="H13" s="12" t="str">
        <x:v>Official full/hotseries pages; May 10 hotseries signal and recent reviews.</x:v>
      </x:c>
      <x:c r="I13" s="20" t="n">
        <x:v>94</x:v>
      </x:c>
      <x:c r="J13" s="12" t="str">
        <x:v>A_Core</x:v>
      </x:c>
      <x:c r="K13" s="12" t="str">
        <x:v>https://netshort.com/full-episodes/death-game-watch-me-win-2051566549088600065</x:v>
      </x:c>
      <x:c r="L13" s="12" t="str">
        <x:v>제작방식 캡처/광고 소재 원본 확인 후 Direct 또는 Candidate 등급 조정.</x:v>
      </x:c>
    </x:row>
    <x:row r="14" ht="48" customHeight="1">
      <x:c r="A14" s="12" t="str">
        <x:v>2026-05</x:v>
      </x:c>
      <x:c r="B14" s="12" t="str">
        <x:v>NetShort</x:v>
      </x:c>
      <x:c r="C14" s="12" t="str">
        <x:v>Trash Dragon Ate the World!</x:v>
      </x:c>
      <x:c r="D14" s="12" t="str">
        <x:v>Animation/VFX candidate; production AIGC unconfirmed</x:v>
      </x:c>
      <x:c r="E14" s="12" t="str">
        <x:v>Mixed / Dragon pet evolution</x:v>
      </x:c>
      <x:c r="F14" s="12" t="str">
        <x:v>Dragon / Pet evolution / School beauty / Karma Payback</x:v>
      </x:c>
      <x:c r="G14" s="12" t="str">
        <x:v>High candidate: dragon evolution and review snippets mention stunning animation.</x:v>
      </x:c>
      <x:c r="H14" s="12" t="str">
        <x:v>Official full/hotseries pages; episode review references animation and crystal cave scene.</x:v>
      </x:c>
      <x:c r="I14" s="20" t="n">
        <x:v>94</x:v>
      </x:c>
      <x:c r="J14" s="12" t="str">
        <x:v>A_Core</x:v>
      </x:c>
      <x:c r="K14" s="12" t="str">
        <x:v>https://netshort.com/full-episodes/trash-dragon-ate-the-world-2046488704607846402</x:v>
      </x:c>
      <x:c r="L14" s="12" t="str">
        <x:v>제작방식 캡처/광고 소재 원본 확인 후 Direct 또는 Candidate 등급 조정.</x:v>
      </x:c>
    </x:row>
    <x:row r="15" ht="48" customHeight="1">
      <x:c r="A15" s="12" t="str">
        <x:v>2026-04</x:v>
      </x:c>
      <x:c r="B15" s="12" t="str">
        <x:v>NetShort</x:v>
      </x:c>
      <x:c r="C15" s="12" t="str">
        <x:v>Wait, I Reborn as a Pet Lizard?</x:v>
      </x:c>
      <x:c r="D15" s="12" t="str">
        <x:v>Animation/VFX candidate; production AIGC unconfirmed</x:v>
      </x:c>
      <x:c r="E15" s="12" t="str">
        <x:v>Male / Dragon rebirth fantasy</x:v>
      </x:c>
      <x:c r="F15" s="12" t="str">
        <x:v>Rebirth / Dragon king / Pet lizard / Soul transfer</x:v>
      </x:c>
      <x:c r="G15" s="12" t="str">
        <x:v>High candidate: 드래곤·변신·소환수 전투는 AIGC/애니 제작 효율이 높음.</x:v>
      </x:c>
      <x:c r="H15" s="12" t="str">
        <x:v>Official full/episode/hotseries pages; fantasy/rebirth trend.</x:v>
      </x:c>
      <x:c r="I15" s="20" t="n">
        <x:v>94</x:v>
      </x:c>
      <x:c r="J15" s="12" t="str">
        <x:v>A_Core</x:v>
      </x:c>
      <x:c r="K15" s="12" t="str">
        <x:v>https://netshort.com/full-episodes/wait-i-reborn-as-a-pet-lizard-2044316729676398593</x:v>
      </x:c>
      <x:c r="L15" s="12" t="str">
        <x:v>제작방식 캡처/광고 소재 원본 확인 후 Direct 또는 Candidate 등급 조정.</x:v>
      </x:c>
    </x:row>
    <x:row r="16" ht="48" customHeight="1">
      <x:c r="A16" s="12" t="str">
        <x:v>2026-05</x:v>
      </x:c>
      <x:c r="B16" s="12" t="str">
        <x:v>NetShort</x:v>
      </x:c>
      <x:c r="C16" s="12" t="str">
        <x:v>I Rule the World with a Hot Spring System!</x:v>
      </x:c>
      <x:c r="D16" s="12" t="str">
        <x:v>Animation/VFX candidate; production AIGC unconfirmed</x:v>
      </x:c>
      <x:c r="E16" s="12" t="str">
        <x:v>Male / Apocalypse system</x:v>
      </x:c>
      <x:c r="F16" s="12" t="str">
        <x:v>Urban Fantasy / Frozen apocalypse / Hot spring system / Luxury revenge</x:v>
      </x:c>
      <x:c r="G16" s="12" t="str">
        <x:v>High candidate: 시스템 UI·빙하기 도시·온천 판타지 비주얼은 AIGC 후보.</x:v>
      </x:c>
      <x:c r="H16" s="12" t="str">
        <x:v>Official full/episode pages; Life OL/Urban Fantasy category flow.</x:v>
      </x:c>
      <x:c r="I16" s="20" t="n">
        <x:v>93</x:v>
      </x:c>
      <x:c r="J16" s="12" t="str">
        <x:v>A_Core</x:v>
      </x:c>
      <x:c r="K16" s="12" t="str">
        <x:v>https://netshort.com/full-episodes/i-rule-the-world-with-a-hot-spring-system-2051565339421966337</x:v>
      </x:c>
      <x:c r="L16" s="12" t="str">
        <x:v>제작방식 캡처/광고 소재 원본 확인 후 Direct 또는 Candidate 등급 조정.</x:v>
      </x:c>
    </x:row>
    <x:row r="17" ht="48" customHeight="1">
      <x:c r="A17" s="12" t="str">
        <x:v>2026-04</x:v>
      </x:c>
      <x:c r="B17" s="12" t="str">
        <x:v>NetShort</x:v>
      </x:c>
      <x:c r="C17" s="12" t="str">
        <x:v>Reborn as Zombie: I Devour All</x:v>
      </x:c>
      <x:c r="D17" s="12" t="str">
        <x:v>Animation/VFX candidate; production AIGC unconfirmed</x:v>
      </x:c>
      <x:c r="E17" s="12" t="str">
        <x:v>Male / Zombie devour evolution</x:v>
      </x:c>
      <x:c r="F17" s="12" t="str">
        <x:v>Rebirth / Apocalypse / Infinite devour system / Undead king</x:v>
      </x:c>
      <x:c r="G17" s="12" t="str">
        <x:v>High candidate: 좀비군단·포식 이펙트·언데드 진화는 AIGC/애니 활용도가 높음.</x:v>
      </x:c>
      <x:c r="H17" s="12" t="str">
        <x:v>Official full/episode pages; apocalypse/rebirth category signal.</x:v>
      </x:c>
      <x:c r="I17" s="20" t="n">
        <x:v>93</x:v>
      </x:c>
      <x:c r="J17" s="12" t="str">
        <x:v>A_Core</x:v>
      </x:c>
      <x:c r="K17" s="12" t="str">
        <x:v>https://netshort.com/full-episodes/reborn-as-zombie-i-devour-all-2042486566856687618</x:v>
      </x:c>
      <x:c r="L17" s="12" t="str">
        <x:v>제작방식 캡처/광고 소재 원본 확인 후 Direct 또는 Candidate 등급 조정.</x:v>
      </x:c>
    </x:row>
    <x:row r="18" ht="48" customHeight="1">
      <x:c r="A18" s="12" t="str">
        <x:v>2026-04</x:v>
      </x:c>
      <x:c r="B18" s="12" t="str">
        <x:v>NetShort</x:v>
      </x:c>
      <x:c r="C18" s="12" t="str">
        <x:v>The ONLY Girl In A World Of Beasts</x:v>
      </x:c>
      <x:c r="D18" s="12" t="str">
        <x:v>Animation/VFX candidate; production AIGC unconfirmed</x:v>
      </x:c>
      <x:c r="E18" s="12" t="str">
        <x:v>Female / Beast-world reverse harem</x:v>
      </x:c>
      <x:c r="F18" s="12" t="str">
        <x:v>Immortal Love / Beast world / Rare female / Alpha kings</x:v>
      </x:c>
      <x:c r="G18" s="12" t="str">
        <x:v>High candidate: beastmen/이세계/역하렘 비주얼은 AIGC/애니 후보. 제작 확정은 미확인.</x:v>
      </x:c>
      <x:c r="H18" s="12" t="str">
        <x:v>Official full/episode pages; fantasy world category recommendation.</x:v>
      </x:c>
      <x:c r="I18" s="20" t="n">
        <x:v>92</x:v>
      </x:c>
      <x:c r="J18" s="12" t="str">
        <x:v>A_Core</x:v>
      </x:c>
      <x:c r="K18" s="12" t="str">
        <x:v>https://netshort.com/full-episodes/the-only-girl-in-a-world-of-beasts-2046513782586343426</x:v>
      </x:c>
      <x:c r="L18" s="12" t="str">
        <x:v>제작방식 캡처/광고 소재 원본 확인 후 Direct 또는 Candidate 등급 조정.</x:v>
      </x:c>
    </x:row>
    <x:row r="19" ht="48" customHeight="1">
      <x:c r="A19" s="12" t="str">
        <x:v>2026-05</x:v>
      </x:c>
      <x:c r="B19" s="12" t="str">
        <x:v>NetShort</x:v>
      </x:c>
      <x:c r="C19" s="12" t="str">
        <x:v>After My Slumber, Gods Repent</x:v>
      </x:c>
      <x:c r="D19" s="12" t="str">
        <x:v>Animation/VFX candidate; production AIGC unconfirmed</x:v>
      </x:c>
      <x:c r="E19" s="12" t="str">
        <x:v>Family regret / Fantasy</x:v>
      </x:c>
      <x:c r="F19" s="12" t="str">
        <x:v>Asgard / Sibling regret / World Tree sacrifice</x:v>
      </x:c>
      <x:c r="G19" s="12" t="str">
        <x:v>High candidate: Asgard/World Tree/divine regret VFX; production AIGC unconfirmed.</x:v>
      </x:c>
      <x:c r="H19" s="12" t="str">
        <x:v>Current NetShort all-plots/hotseries/recent episode signal; exact app ranking needs in-app check.</x:v>
      </x:c>
      <x:c r="I19" s="20" t="n">
        <x:v>91</x:v>
      </x:c>
      <x:c r="J19" s="12" t="str">
        <x:v>A_Core</x:v>
      </x:c>
      <x:c r="K19" s="12" t="str">
        <x:v>https://netshort.com/full-episodes/after-my-slumber-gods-repent-2052962354697601026
https://netshort.com/hotseries/after-my-slumber-gods-repent-2052962354697601026</x:v>
      </x:c>
      <x:c r="L19" s="12" t="str">
        <x:v>제작방식 캡처/광고 소재 원본 확인 후 Direct 또는 Candidate 등급 조정.</x:v>
      </x:c>
    </x:row>
    <x:row r="20" ht="48" customHeight="1">
      <x:c r="A20" s="12" t="str">
        <x:v>2026-03</x:v>
      </x:c>
      <x:c r="B20" s="12" t="str">
        <x:v>NetShort</x:v>
      </x:c>
      <x:c r="C20" s="12" t="str">
        <x:v>Tame the Devils or Die: The Villainess's Revenge</x:v>
      </x:c>
      <x:c r="D20" s="12" t="str">
        <x:v>Animation/VFX candidate; production AIGC unconfirmed</x:v>
      </x:c>
      <x:c r="E20" s="12" t="str">
        <x:v>Female / Otome system fantasy</x:v>
      </x:c>
      <x:c r="F20" s="12" t="str">
        <x:v>Otome game / Villainess / Devil butlers / Dark value system</x:v>
      </x:c>
      <x:c r="G20" s="12" t="str">
        <x:v>High candidate: otome-system UI and devil butler fantasy are AIGC/animated slate compatible.</x:v>
      </x:c>
      <x:c r="H20" s="12" t="str">
        <x:v>Current NetShort all-plots/hotseries/recent episode signal; exact app ranking needs in-app check.</x:v>
      </x:c>
      <x:c r="I20" s="20" t="n">
        <x:v>90</x:v>
      </x:c>
      <x:c r="J20" s="12" t="str">
        <x:v>A_Core</x:v>
      </x:c>
      <x:c r="K20" s="12" t="str">
        <x:v>https://netshort.com/full-episodes/tame-the-devils-or-die-the-villainesss-revenge-2021762099012669441</x:v>
      </x:c>
      <x:c r="L20" s="12" t="str">
        <x:v>제작방식 캡처/광고 소재 원본 확인 후 Direct 또는 Candidate 등급 조정.</x:v>
      </x:c>
    </x:row>
    <x:row r="21" ht="48" customHeight="1">
      <x:c r="A21" s="12" t="str">
        <x:v>2026-05</x:v>
      </x:c>
      <x:c r="B21" s="12" t="str">
        <x:v>NetShort</x:v>
      </x:c>
      <x:c r="C21" s="12" t="str">
        <x:v>Limitless Evolution: The Spider Scourge</x:v>
      </x:c>
      <x:c r="D21" s="12" t="str">
        <x:v>Animation/VFX candidate; production AIGC unconfirmed</x:v>
      </x:c>
      <x:c r="E21" s="12" t="str">
        <x:v>Male / Power fantasy</x:v>
      </x:c>
      <x:c r="F21" s="12" t="str">
        <x:v>Fantasy / Life OL / Devour Evolution / Monster Power-Up</x:v>
      </x:c>
      <x:c r="G21" s="12" t="str">
        <x:v>High: 몬스터 진화·포식·비인간 주인공 후보.</x:v>
      </x:c>
      <x:c r="H21" s="12" t="str">
        <x:v>Existing workbook candidate; direct production proof not confirmed.</x:v>
      </x:c>
      <x:c r="I21" s="20" t="n">
        <x:v>88</x:v>
      </x:c>
      <x:c r="J21" s="12" t="str">
        <x:v>A_Core</x:v>
      </x:c>
      <x:c r="K21" s="12" t="str">
        <x:v>https://netshort.com/full-episodes/limitless-evolution-the-spider-scourge-2049733219590340610</x:v>
      </x:c>
      <x:c r="L21" s="12" t="str">
        <x:v>실사/애니 제작 방식 캡처 확인.</x:v>
      </x:c>
    </x:row>
    <x:row r="22" ht="48" customHeight="1">
      <x:c r="A22" s="12" t="str">
        <x:v>2026-03</x:v>
      </x:c>
      <x:c r="B22" s="12" t="str">
        <x:v>NetShort</x:v>
      </x:c>
      <x:c r="C22" s="12" t="str">
        <x:v>1000 Years in a Loop!</x:v>
      </x:c>
      <x:c r="D22" s="12" t="str">
        <x:v>Animation/VFX candidate; production AIGC unconfirmed</x:v>
      </x:c>
      <x:c r="E22" s="12" t="str">
        <x:v>Male / Power fantasy</x:v>
      </x:c>
      <x:c r="F22" s="12" t="str">
        <x:v>Urban Fantasy / Time loop / Mind-Bending / Feel-Good</x:v>
      </x:c>
      <x:c r="G22" s="12" t="str">
        <x:v>High: 루프·세계관 반복·시스템 룰은 AIGC 후보.</x:v>
      </x:c>
      <x:c r="H22" s="12" t="str">
        <x:v>Existing workbook candidate; direct production proof not confirmed.</x:v>
      </x:c>
      <x:c r="I22" s="20" t="n">
        <x:v>84</x:v>
      </x:c>
      <x:c r="J22" s="12" t="str">
        <x:v>B_Strong</x:v>
      </x:c>
      <x:c r="K22" s="12" t="str">
        <x:v>https://netshort.com/hotseries/1000-years-in-a-loop-new-2035599141670649858</x:v>
      </x:c>
      <x:c r="L22" s="12" t="str">
        <x:v>직접 제작 표기/소재 원본 확인.</x:v>
      </x:c>
    </x:row>
    <x:row r="23" ht="48" customHeight="1">
      <x:c r="A23" s="12" t="str">
        <x:v>2026-04</x:v>
      </x:c>
      <x:c r="B23" s="12" t="str">
        <x:v>NetShort</x:v>
      </x:c>
      <x:c r="C23" s="12" t="str">
        <x:v>Lv.1 Legend? Sweet</x:v>
      </x:c>
      <x:c r="D23" s="12" t="str">
        <x:v>Animation/VFX candidate; production AIGC unconfirmed</x:v>
      </x:c>
      <x:c r="E23" s="12" t="str">
        <x:v>Female / Revenge-SFL</x:v>
      </x:c>
      <x:c r="F23" s="12" t="str">
        <x:v>Eastern Fantasy / Karma Payback / Fantasy World</x:v>
      </x:c>
      <x:c r="G23" s="12" t="str">
        <x:v>High: 동양판타지·레벨업·이펙트 후보.</x:v>
      </x:c>
      <x:c r="H23" s="12" t="str">
        <x:v>Existing workbook candidate; direct production proof not confirmed.</x:v>
      </x:c>
      <x:c r="I23" s="20" t="n">
        <x:v>84</x:v>
      </x:c>
      <x:c r="J23" s="12" t="str">
        <x:v>B_Strong</x:v>
      </x:c>
      <x:c r="K23" s="12" t="str">
        <x:v>https://netshort.com/hotseries/lv1-legend-sweet-new-2040041912966475778</x:v>
      </x:c>
      <x:c r="L23" s="12" t="str">
        <x:v>직접 제작 표기/소재 원본 확인.</x:v>
      </x:c>
    </x:row>
    <x:row r="24" ht="48" customHeight="1">
      <x:c r="A24" s="12" t="str">
        <x:v>2026-03</x:v>
      </x:c>
      <x:c r="B24" s="12" t="str">
        <x:v>NetShort</x:v>
      </x:c>
      <x:c r="C24" s="12" t="str">
        <x:v>The Godmaker’s Return</x:v>
      </x:c>
      <x:c r="D24" s="12" t="str">
        <x:v>Animation/VFX candidate; production AIGC unconfirmed</x:v>
      </x:c>
      <x:c r="E24" s="12" t="str">
        <x:v>Male / Power fantasy</x:v>
      </x:c>
      <x:c r="F24" s="12" t="str">
        <x:v>Underdog Rise / Return King / Power Play</x:v>
      </x:c>
      <x:c r="G24" s="12" t="str">
        <x:v>High: 신격화·귀환·권력 연출 후보.</x:v>
      </x:c>
      <x:c r="H24" s="12" t="str">
        <x:v>Existing workbook candidate; direct production proof not confirmed.</x:v>
      </x:c>
      <x:c r="I24" s="20" t="n">
        <x:v>84</x:v>
      </x:c>
      <x:c r="J24" s="12" t="str">
        <x:v>B_Strong</x:v>
      </x:c>
      <x:c r="K24" s="12" t="str">
        <x:v>https://netshort.com/hotseries/the-godmakers-return-new-2033845776191621121</x:v>
      </x:c>
      <x:c r="L24" s="12" t="str">
        <x:v>직접 제작 표기/소재 원본 확인.</x:v>
      </x:c>
    </x:row>
    <x:row r="25" ht="48" customHeight="1">
      <x:c r="A25" s="12" t="str">
        <x:v>2025-12</x:v>
      </x:c>
      <x:c r="B25" s="12" t="str">
        <x:v>NetShort</x:v>
      </x:c>
      <x:c r="C25" s="12" t="str">
        <x:v>My Wife Cheated, So I Became a God</x:v>
      </x:c>
      <x:c r="D25" s="12" t="str">
        <x:v>Animation/VFX candidate; production AIGC unconfirmed</x:v>
      </x:c>
      <x:c r="E25" s="12" t="str">
        <x:v>Male / Power fantasy</x:v>
      </x:c>
      <x:c r="F25" s="12" t="str">
        <x:v>Fantasy / Underdog Rise / Karma Payback</x:v>
      </x:c>
      <x:c r="G25" s="12" t="str">
        <x:v>High: 신격화·전투·세계관 VFX가 AIGC/애니 제작 후보.</x:v>
      </x:c>
      <x:c r="H25" s="12" t="str">
        <x:v>Existing workbook candidate; direct production proof not confirmed.</x:v>
      </x:c>
      <x:c r="I25" s="20" t="n">
        <x:v>82</x:v>
      </x:c>
      <x:c r="J25" s="12" t="str">
        <x:v>B_Strong</x:v>
      </x:c>
      <x:c r="K25" s="12" t="str">
        <x:v>https://netshort.com/hotseries/my-wife-cheated-so-i-became-a-god-new-3-2004112691517865986</x:v>
      </x:c>
      <x:c r="L25" s="12" t="str">
        <x:v>직접 제작 표기/소재 원본 확인.</x:v>
      </x:c>
    </x:row>
    <x:row r="26" ht="48" customHeight="1">
      <x:c r="A26" s="12" t="str">
        <x:v>2026-02</x:v>
      </x:c>
      <x:c r="B26" s="12" t="str">
        <x:v>NetShort</x:v>
      </x:c>
      <x:c r="C26" s="12" t="str">
        <x:v>OMG! I Become a Demon’s Husband</x:v>
      </x:c>
      <x:c r="D26" s="12" t="str">
        <x:v>Animation/VFX candidate; production AIGC unconfirmed</x:v>
      </x:c>
      <x:c r="E26" s="12" t="str">
        <x:v>Male / Power fantasy</x:v>
      </x:c>
      <x:c r="F26" s="12" t="str">
        <x:v>Martial Arts / Good vs Evil / Multiple Identities</x:v>
      </x:c>
      <x:c r="G26" s="12" t="str">
        <x:v>High: 악마/무협/이세계 VFX 후보.</x:v>
      </x:c>
      <x:c r="H26" s="12" t="str">
        <x:v>Existing workbook candidate; direct production proof not confirmed.</x:v>
      </x:c>
      <x:c r="I26" s="20" t="n">
        <x:v>82</x:v>
      </x:c>
      <x:c r="J26" s="12" t="str">
        <x:v>B_Strong</x:v>
      </x:c>
      <x:c r="K26" s="12" t="str">
        <x:v>https://netshort.com/hotseries/omg-i-become-a-demons-husband-new-2023984599467356161</x:v>
      </x:c>
      <x:c r="L26" s="12" t="str">
        <x:v>직접 제작 표기/소재 원본 확인.</x:v>
      </x:c>
    </x:row>
    <x:row r="27" ht="48" customHeight="1">
      <x:c r="A27" s="12" t="str">
        <x:v>2026-05</x:v>
      </x:c>
      <x:c r="B27" s="12" t="str">
        <x:v>NetShort</x:v>
      </x:c>
      <x:c r="C27" s="12" t="str">
        <x:v>Betrayed? I Rule the Ocean!</x:v>
      </x:c>
      <x:c r="D27" s="12" t="str">
        <x:v>Animation/VFX candidate; production AIGC unconfirmed</x:v>
      </x:c>
      <x:c r="E27" s="12" t="str">
        <x:v>Mixed / General</x:v>
      </x:c>
      <x:c r="F27" s="12" t="str">
        <x:v>Rural Life / Underdog Rise / Rags to Riches / Ocean Empire</x:v>
      </x:c>
      <x:c r="G27" s="12" t="str">
        <x:v>Medium-High: 바다/왕국/권력 시각 보상 후보.</x:v>
      </x:c>
      <x:c r="H27" s="12" t="str">
        <x:v>Existing workbook candidate; direct production proof not confirmed.</x:v>
      </x:c>
      <x:c r="I27" s="20" t="n">
        <x:v>80</x:v>
      </x:c>
      <x:c r="J27" s="12" t="str">
        <x:v>B_Strong</x:v>
      </x:c>
      <x:c r="K27" s="12" t="str">
        <x:v>https://netshort.com/full-episodes/betrayed-i-rule-the-ocean-2051569628911501313</x:v>
      </x:c>
      <x:c r="L27" s="12" t="str">
        <x:v>직접 제작 표기/소재 원본 확인.</x:v>
      </x:c>
    </x:row>
    <x:row r="28" ht="48" customHeight="1">
      <x:c r="A28" s="12" t="str">
        <x:v>2026-04</x:v>
      </x:c>
      <x:c r="B28" s="12" t="str">
        <x:v>NetShort</x:v>
      </x:c>
      <x:c r="C28" s="12" t="str">
        <x:v>Baby Tycoon &amp; Her Reward System</x:v>
      </x:c>
      <x:c r="D28" s="12" t="str">
        <x:v>Animation/VFX candidate; production AIGC unconfirmed</x:v>
      </x:c>
      <x:c r="E28" s="12" t="str">
        <x:v>Female / Child-system fantasy</x:v>
      </x:c>
      <x:c r="F28" s="12" t="str">
        <x:v>Second chance / Child mastermind / Reward system</x:v>
      </x:c>
      <x:c r="G28" s="12" t="str">
        <x:v>Medium-High: 보상 시스템 UI와 유아 천재 판타지 후보.</x:v>
      </x:c>
      <x:c r="H28" s="12" t="str">
        <x:v>Existing workbook candidate; direct production proof not confirmed.</x:v>
      </x:c>
      <x:c r="I28" s="20" t="n">
        <x:v>78</x:v>
      </x:c>
      <x:c r="J28" s="12" t="str">
        <x:v>B_Strong</x:v>
      </x:c>
      <x:c r="K28" s="12" t="str">
        <x:v>https://netshort.com/episode/baby-tycoon-her-reward-system-1970771520843513857</x:v>
      </x:c>
      <x:c r="L28" s="12" t="str">
        <x:v>직접 제작 표기/소재 원본 확인.</x:v>
      </x:c>
    </x:row>
    <x:row r="29" ht="48" customHeight="1">
      <x:c r="A29" s="12" t="str">
        <x:v>2026-02</x:v>
      </x:c>
      <x:c r="B29" s="12" t="str">
        <x:v>DramaWave</x:v>
      </x:c>
      <x:c r="C29" s="12" t="str">
        <x:v>Attribute Seizer: Undead Overlord</x:v>
      </x:c>
      <x:c r="D29" s="12" t="str">
        <x:v>Animation/VFX candidate; production AIGC unconfirmed</x:v>
      </x:c>
      <x:c r="E29" s="12" t="str">
        <x:v>Male / Power fantasy</x:v>
      </x:c>
      <x:c r="F29" s="12" t="str">
        <x:v>Necromancer / Attribute steal / Undead army / Game fantasy</x:v>
      </x:c>
      <x:c r="G29" s="12" t="str">
        <x:v>High: 언데드 군단·속성 약탈·게임 UI가 AIGC/애니 후보.</x:v>
      </x:c>
      <x:c r="H29" s="12" t="str">
        <x:v>DramaWave AI short drama award context; production for this title unconfirmed.</x:v>
      </x:c>
      <x:c r="I29" s="20" t="n">
        <x:v>82</x:v>
      </x:c>
      <x:c r="J29" s="12" t="str">
        <x:v>B_Strong</x:v>
      </x:c>
      <x:c r="K29" s="12" t="str">
        <x:v>https://ai.mydramawave.com/</x:v>
      </x:c>
      <x:c r="L29" s="12" t="str">
        <x:v>개별 작품 제작방식 출처 확인.</x:v>
      </x:c>
    </x:row>
    <x:row r="30" ht="48" customHeight="1">
      <x:c r="A30" s="12" t="str">
        <x:v>2026-03</x:v>
      </x:c>
      <x:c r="B30" s="12" t="str">
        <x:v>DramaWave</x:v>
      </x:c>
      <x:c r="C30" s="12" t="str">
        <x:v>When the Moon Hides Crown</x:v>
      </x:c>
      <x:c r="D30" s="12" t="str">
        <x:v>Animation/VFX candidate; production AIGC unconfirmed</x:v>
      </x:c>
      <x:c r="E30" s="12" t="str">
        <x:v>Female / Royal fantasy</x:v>
      </x:c>
      <x:c r="F30" s="12" t="str">
        <x:v>Royal fantasy / hidden crown / visual-worldbuilding</x:v>
      </x:c>
      <x:c r="G30" s="12" t="str">
        <x:v>Medium-High: 왕관·왕실·판타지 미장센 후보.</x:v>
      </x:c>
      <x:c r="H30" s="12" t="str">
        <x:v>Existing workbook candidate; DramaWave AI program context only.</x:v>
      </x:c>
      <x:c r="I30" s="20" t="n">
        <x:v>78</x:v>
      </x:c>
      <x:c r="J30" s="12" t="str">
        <x:v>B_Strong</x:v>
      </x:c>
      <x:c r="K30" s="12" t="str">
        <x:v>https://melolo.com/dramas/when-the-moon-hides-crown
https://ai.mydramawave.com/</x:v>
      </x:c>
      <x:c r="L30" s="12" t="str">
        <x:v>개별 작품 제작방식 출처 확인.</x:v>
      </x:c>
    </x:row>
    <x:row r="31" ht="48" customHeight="1">
      <x:c r="A31" s="12" t="str">
        <x:v>2026-05</x:v>
      </x:c>
      <x:c r="B31" s="12" t="str">
        <x:v>GoodShort</x:v>
      </x:c>
      <x:c r="C31" s="12" t="str">
        <x:v>The Romance System in a Dead World</x:v>
      </x:c>
      <x:c r="D31" s="12" t="str">
        <x:v>Animation/VFX candidate; production AIGC unconfirmed</x:v>
      </x:c>
      <x:c r="E31" s="12" t="str">
        <x:v>Female / System romance</x:v>
      </x:c>
      <x:c r="F31" s="12" t="str">
        <x:v>System / Dead world / Romance survival</x:v>
      </x:c>
      <x:c r="G31" s="12" t="str">
        <x:v>High: 시스템 UI·종말세계·로맨스 생존 후보.</x:v>
      </x:c>
      <x:c r="H31" s="12" t="str">
        <x:v>Existing workbook candidate; official/platform verification needed.</x:v>
      </x:c>
      <x:c r="I31" s="20" t="n">
        <x:v>76</x:v>
      </x:c>
      <x:c r="J31" s="12" t="str">
        <x:v>B_Strong</x:v>
      </x:c>
      <x:c r="K31" s="12" t="str">
        <x:v>https://www.goodshort.com/</x:v>
      </x:c>
      <x:c r="L31" s="12" t="str">
        <x:v>개별 작품 공식 URL/제작방식 확인.</x:v>
      </x:c>
    </x:row>
    <x:row r="32" ht="48" customHeight="1">
      <x:c r="A32" s="12" t="str">
        <x:v>2026-05</x:v>
      </x:c>
      <x:c r="B32" s="12" t="str">
        <x:v>GoodShort</x:v>
      </x:c>
      <x:c r="C32" s="12" t="str">
        <x:v>Titan Era: Ten Divine Beasts Rise with Me</x:v>
      </x:c>
      <x:c r="D32" s="12" t="str">
        <x:v>Animation/VFX candidate; production AIGC unconfirmed</x:v>
      </x:c>
      <x:c r="E32" s="12" t="str">
        <x:v>Male / Beast fantasy</x:v>
      </x:c>
      <x:c r="F32" s="12" t="str">
        <x:v>Divine beasts / Titan era / Power fantasy</x:v>
      </x:c>
      <x:c r="G32" s="12" t="str">
        <x:v>High: 신수·거대전투·판타지 세계관 후보.</x:v>
      </x:c>
      <x:c r="H32" s="12" t="str">
        <x:v>Existing workbook candidate; official/platform verification needed.</x:v>
      </x:c>
      <x:c r="I32" s="20" t="n">
        <x:v>76</x:v>
      </x:c>
      <x:c r="J32" s="12" t="str">
        <x:v>B_Strong</x:v>
      </x:c>
      <x:c r="K32" s="12" t="str">
        <x:v>https://www.goodshort.com/</x:v>
      </x:c>
      <x:c r="L32" s="12" t="str">
        <x:v>개별 작품 공식 URL/제작방식 확인.</x:v>
      </x:c>
    </x:row>
    <x:row r="33" ht="48" customHeight="1">
      <x:c r="A33" s="12" t="str">
        <x:v>2026-05</x:v>
      </x:c>
      <x:c r="B33" s="12" t="str">
        <x:v>NetShort</x:v>
      </x:c>
      <x:c r="C33" s="12" t="str">
        <x:v>Dog Suit Affair: How to Train a Side Chick</x:v>
      </x:c>
      <x:c r="D33" s="12" t="str">
        <x:v>Live-action family ethics; AIGC not flagged</x:v>
      </x:c>
      <x:c r="E33" s="12" t="str">
        <x:v>Female / Family ethics</x:v>
      </x:c>
      <x:c r="F33" s="12" t="str">
        <x:v>Family Drama / Family Ethics / Mistress disguise / Pregnant wife</x:v>
      </x:c>
      <x:c r="G33" s="12" t="str">
        <x:v>Low: 실사 막장/윤리극. AIGC 후보 아님.</x:v>
      </x:c>
      <x:c r="H33" s="12" t="str">
        <x:v>Current NetShort all-plots/hotseries/recent episode signal; exact app ranking needs in-app check.</x:v>
      </x:c>
      <x:c r="I33" s="20" t="n">
        <x:v>92</x:v>
      </x:c>
      <x:c r="J33" s="12" t="str">
        <x:v>A_Core</x:v>
      </x:c>
      <x:c r="K33" s="12" t="str">
        <x:v>https://netshort.com/full-episodes/dog-suit-affair-how-to-train-a-side-chick-2053734062975090689
https://netshort.com/drama/all-plots</x:v>
      </x:c>
      <x:c r="L33" s="12" t="str">
        <x:v>제작방식 캡처/광고 소재 원본 확인 후 Direct 또는 Candidate 등급 조정.</x:v>
      </x:c>
    </x:row>
    <x:row r="34" ht="48" customHeight="1">
      <x:c r="A34" s="12" t="str">
        <x:v>2026-05</x:v>
      </x:c>
      <x:c r="B34" s="12" t="str">
        <x:v>NetShort</x:v>
      </x:c>
      <x:c r="C34" s="12" t="str">
        <x:v>Mafia heiress's forbidden obsession</x:v>
      </x:c>
      <x:c r="D34" s="12" t="str">
        <x:v>Live-action mafia romance; AIGC not flagged</x:v>
      </x:c>
      <x:c r="E34" s="12" t="str">
        <x:v>Female / Mafia romance</x:v>
      </x:c>
      <x:c r="F34" s="12" t="str">
        <x:v>Modern Romance / Mafia heiress / Forbidden obsession</x:v>
      </x:c>
      <x:c r="G34" s="12" t="str">
        <x:v>Medium: 총격/조직 액션 보강. 제작 AIGC 후보 아님.</x:v>
      </x:c>
      <x:c r="H34" s="12" t="str">
        <x:v>Current NetShort all-plots/hotseries/recent episode signal; exact app ranking needs in-app check.</x:v>
      </x:c>
      <x:c r="I34" s="20" t="n">
        <x:v>92</x:v>
      </x:c>
      <x:c r="J34" s="12" t="str">
        <x:v>A_Core</x:v>
      </x:c>
      <x:c r="K34" s="12" t="str">
        <x:v>https://netshort.com/full-episodes/mafia-heiresss-forbidden-obsession-2054395383885725697
https://netshort.com/drama/all-plots</x:v>
      </x:c>
      <x:c r="L34" s="12" t="str">
        <x:v>제작방식 캡처/광고 소재 원본 확인 후 Direct 또는 Candidate 등급 조정.</x:v>
      </x:c>
    </x:row>
    <x:row r="35" ht="48" customHeight="1">
      <x:c r="A35" s="12" t="str">
        <x:v>2026-05</x:v>
      </x:c>
      <x:c r="B35" s="12" t="str">
        <x:v>NetShort</x:v>
      </x:c>
      <x:c r="C35" s="12" t="str">
        <x:v>Mountain Saint, Underworld King</x:v>
      </x:c>
      <x:c r="D35" s="12" t="str">
        <x:v>Live-action/action fantasy; AIGC not flagged</x:v>
      </x:c>
      <x:c r="E35" s="12" t="str">
        <x:v>Male / Martial underworld</x:v>
      </x:c>
      <x:c r="F35" s="12" t="str">
        <x:v>Taoist descent / Underworld empire / Widows / Power inheritance</x:v>
      </x:c>
      <x:c r="G35" s="12" t="str">
        <x:v>Medium: 액션·도술 VFX 보강 가능. 제작 AIGC 후보로 분류하지 않음.</x:v>
      </x:c>
      <x:c r="H35" s="12" t="str">
        <x:v>Official full/hotseries pages; 6 days ago hotseries signal.</x:v>
      </x:c>
      <x:c r="I35" s="20" t="n">
        <x:v>92</x:v>
      </x:c>
      <x:c r="J35" s="12" t="str">
        <x:v>A_Core</x:v>
      </x:c>
      <x:c r="K35" s="12" t="str">
        <x:v>https://netshort.com/full-episodes/mountain-saint-underworld-king-2051586701519749122</x:v>
      </x:c>
      <x:c r="L35" s="12" t="str">
        <x:v>제작방식 캡처/광고 소재 원본 확인 후 Direct 또는 Candidate 등급 조정.</x:v>
      </x:c>
    </x:row>
    <x:row r="36" ht="48" customHeight="1">
      <x:c r="A36" s="12" t="str">
        <x:v>2026-05</x:v>
      </x:c>
      <x:c r="B36" s="12" t="str">
        <x:v>NetShort</x:v>
      </x:c>
      <x:c r="C36" s="12" t="str">
        <x:v>You Can Steal My Glory, but NOT HER!</x:v>
      </x:c>
      <x:c r="D36" s="12" t="str">
        <x:v>Live-action war romance; AIGC not flagged</x:v>
      </x:c>
      <x:c r="E36" s="12" t="str">
        <x:v>Male / War-god romance</x:v>
      </x:c>
      <x:c r="F36" s="12" t="str">
        <x:v>War God / Stolen glory / Bride protection / Brother betrayal</x:v>
      </x:c>
      <x:c r="G36" s="12" t="str">
        <x:v>Medium: 전쟁/무협 액션 보강 가능. 제작 AIGC 후보 아님.</x:v>
      </x:c>
      <x:c r="H36" s="12" t="str">
        <x:v>Current NetShort all-plots/hotseries/recent episode signal; exact app ranking needs in-app check.</x:v>
      </x:c>
      <x:c r="I36" s="20" t="n">
        <x:v>91</x:v>
      </x:c>
      <x:c r="J36" s="12" t="str">
        <x:v>A_Core</x:v>
      </x:c>
      <x:c r="K36" s="12" t="str">
        <x:v>https://netshort.com/hotseries/you-can-steal-my-glory-but-not-her-2053113584212246530</x:v>
      </x:c>
      <x:c r="L36" s="12" t="str">
        <x:v>제작방식 캡처/광고 소재 원본 확인 후 Direct 또는 Candidate 등급 조정.</x:v>
      </x:c>
    </x:row>
    <x:row r="37" ht="48" customHeight="1">
      <x:c r="A37" s="12" t="str">
        <x:v>2026-05</x:v>
      </x:c>
      <x:c r="B37" s="12" t="str">
        <x:v>NetShort</x:v>
      </x:c>
      <x:c r="C37" s="12" t="str">
        <x:v>Her Silence Held Her Hostage</x:v>
      </x:c>
      <x:c r="D37" s="12" t="str">
        <x:v>Live-action thriller romance; AIGC not flagged</x:v>
      </x:c>
      <x:c r="E37" s="12" t="str">
        <x:v>Female / Thriller romance</x:v>
      </x:c>
      <x:c r="F37" s="12" t="str">
        <x:v>Modern Romance / Kidnap / Forced muteness / Hostage misunderstanding</x:v>
      </x:c>
      <x:c r="G37" s="12" t="str">
        <x:v>Low: 실사 스릴러/로맨스. AIGC 후보 아님.</x:v>
      </x:c>
      <x:c r="H37" s="12" t="str">
        <x:v>Current NetShort all-plots/hotseries/recent episode signal; exact app ranking needs in-app check.</x:v>
      </x:c>
      <x:c r="I37" s="20" t="n">
        <x:v>90</x:v>
      </x:c>
      <x:c r="J37" s="12" t="str">
        <x:v>B_Strong</x:v>
      </x:c>
      <x:c r="K37" s="12" t="str">
        <x:v>https://netshort.com/full-episodes/her-silence-held-her-hostage-2053124993830617089</x:v>
      </x:c>
      <x:c r="L37" s="12" t="str">
        <x:v>제작방식 캡처/광고 소재 원본 확인 후 Direct 또는 Candidate 등급 조정.</x:v>
      </x:c>
    </x:row>
    <x:row r="38" ht="48" customHeight="1">
      <x:c r="A38" s="12" t="str">
        <x:v>2026-05</x:v>
      </x:c>
      <x:c r="B38" s="12" t="str">
        <x:v>NetShort</x:v>
      </x:c>
      <x:c r="C38" s="12" t="str">
        <x:v>The Billionaire Dad I Never Knew</x:v>
      </x:c>
      <x:c r="D38" s="12" t="str">
        <x:v>Live-action family regret; AIGC not flagged</x:v>
      </x:c>
      <x:c r="E38" s="12" t="str">
        <x:v>Family regret / Father-daughter</x:v>
      </x:c>
      <x:c r="F38" s="12" t="str">
        <x:v>Karma Payback / All-Too-Late / Billionaire dad / Daughter neglect</x:v>
      </x:c>
      <x:c r="G38" s="12" t="str">
        <x:v>Low: 실사 가족 후회극. AIGC 후보 아님.</x:v>
      </x:c>
      <x:c r="H38" s="12" t="str">
        <x:v>Current NetShort all-plots/hotseries/recent episode signal; exact app ranking needs in-app check.</x:v>
      </x:c>
      <x:c r="I38" s="20" t="n">
        <x:v>90</x:v>
      </x:c>
      <x:c r="J38" s="12" t="str">
        <x:v>B_Strong</x:v>
      </x:c>
      <x:c r="K38" s="12" t="str">
        <x:v>https://netshort.com/full-episodes/the-billionaire-dad-i-never-knew-2000452042627629057
https://netshort.com/drama/all-plots</x:v>
      </x:c>
      <x:c r="L38" s="12" t="str">
        <x:v>제작방식 캡처/광고 소재 원본 확인 후 Direct 또는 Candidate 등급 조정.</x:v>
      </x:c>
    </x:row>
    <x:row r="39" ht="48" customHeight="1">
      <x:c r="A39" s="12" t="str">
        <x:v>2026-05</x:v>
      </x:c>
      <x:c r="B39" s="12" t="str">
        <x:v>NetShort</x:v>
      </x:c>
      <x:c r="C39" s="12" t="str">
        <x:v>Bye, Cult! I AVENGED My Parents</x:v>
      </x:c>
      <x:c r="D39" s="12" t="str">
        <x:v>Live-action/martial revenge; AIGC not flagged</x:v>
      </x:c>
      <x:c r="E39" s="12" t="str">
        <x:v>Female / Martial revenge</x:v>
      </x:c>
      <x:c r="F39" s="12" t="str">
        <x:v>Revenge / Finding Relatives / Dojo / Deadly tower</x:v>
      </x:c>
      <x:c r="G39" s="12" t="str">
        <x:v>Medium: 무술 액션 보강 가능. 제작 AIGC 후보 아님.</x:v>
      </x:c>
      <x:c r="H39" s="12" t="str">
        <x:v>Current NetShort all-plots/hotseries/recent episode signal; exact app ranking needs in-app check.</x:v>
      </x:c>
      <x:c r="I39" s="20" t="n">
        <x:v>89</x:v>
      </x:c>
      <x:c r="J39" s="12" t="str">
        <x:v>B_Strong</x:v>
      </x:c>
      <x:c r="K39" s="12" t="str">
        <x:v>https://netshort.com/full-episodes/bye-cult-i-avenged-my-parents-2054468341069119490
https://netshort.com/drama/all-plots</x:v>
      </x:c>
      <x:c r="L39" s="12" t="str">
        <x:v>제작방식 캡처/광고 소재 원본 확인 후 Direct 또는 Candidate 등급 조정.</x:v>
      </x:c>
    </x:row>
    <x:row r="40" ht="48" customHeight="1">
      <x:c r="A40" s="12" t="str">
        <x:v>2026-05</x:v>
      </x:c>
      <x:c r="B40" s="12" t="str">
        <x:v>NetShort</x:v>
      </x:c>
      <x:c r="C40" s="12" t="str">
        <x:v>Hurt Me? I'll Seal Your Doom</x:v>
      </x:c>
      <x:c r="D40" s="12" t="str">
        <x:v>Live-action revenge; AIGC not flagged</x:v>
      </x:c>
      <x:c r="E40" s="12" t="str">
        <x:v>Female / Revenge trauma</x:v>
      </x:c>
      <x:c r="F40" s="12" t="str">
        <x:v>Karma Payback / Revenge / Assault trauma / Doom sealing</x:v>
      </x:c>
      <x:c r="G40" s="12" t="str">
        <x:v>Low: 실사형 심리 복수. AIGC 후보 아님.</x:v>
      </x:c>
      <x:c r="H40" s="12" t="str">
        <x:v>Current NetShort all-plots/hotseries/recent episode signal; exact app ranking needs in-app check.</x:v>
      </x:c>
      <x:c r="I40" s="20" t="n">
        <x:v>89</x:v>
      </x:c>
      <x:c r="J40" s="12" t="str">
        <x:v>B_Strong</x:v>
      </x:c>
      <x:c r="K40" s="12" t="str">
        <x:v>https://netshort.com/full-episodes/hurt-me-ill-seal-your-doom-2054032705056669697</x:v>
      </x:c>
      <x:c r="L40" s="12" t="str">
        <x:v>제작방식 캡처/광고 소재 원본 확인 후 Direct 또는 Candidate 등급 조정.</x:v>
      </x:c>
    </x:row>
    <x:row r="41" ht="48" customHeight="1">
      <x:c r="A41" s="12" t="str">
        <x:v>2026-05</x:v>
      </x:c>
      <x:c r="B41" s="12" t="str">
        <x:v>NetShort</x:v>
      </x:c>
      <x:c r="C41" s="12" t="str">
        <x:v>The Eunuch I Married</x:v>
      </x:c>
      <x:c r="D41" s="12" t="str">
        <x:v>Historical live-action; AIGC not flagged</x:v>
      </x:c>
      <x:c r="E41" s="12" t="str">
        <x:v>Female / Historical revenge romance</x:v>
      </x:c>
      <x:c r="F41" s="12" t="str">
        <x:v>Historical Romance / Revenge marriage / Secret decree / Court eunuch</x:v>
      </x:c>
      <x:c r="G41" s="12" t="str">
        <x:v>Medium: 시대극 세트/의상 보강. 제작 AIGC 후보 아님.</x:v>
      </x:c>
      <x:c r="H41" s="12" t="str">
        <x:v>Current NetShort all-plots/hotseries/recent episode signal; exact app ranking needs in-app check.</x:v>
      </x:c>
      <x:c r="I41" s="20" t="n">
        <x:v>89</x:v>
      </x:c>
      <x:c r="J41" s="12" t="str">
        <x:v>B_Strong</x:v>
      </x:c>
      <x:c r="K41" s="12" t="str">
        <x:v>https://netshort.com/full-episodes/the-eunuch-i-married-2053376678415040514</x:v>
      </x:c>
      <x:c r="L41" s="12" t="str">
        <x:v>제작방식 캡처/광고 소재 원본 확인 후 Direct 또는 Candidate 등급 조정.</x:v>
      </x:c>
    </x:row>
    <x:row r="42" ht="48" customHeight="1">
      <x:c r="A42" s="12" t="str">
        <x:v>2026-04</x:v>
      </x:c>
      <x:c r="B42" s="12" t="str">
        <x:v>NetShort</x:v>
      </x:c>
      <x:c r="C42" s="12" t="str">
        <x:v>Divorced &amp; Unmasked: The AI Queen Rules</x:v>
      </x:c>
      <x:c r="D42" s="12" t="str">
        <x:v>AI-theme only; production AIGC unconfirmed</x:v>
      </x:c>
      <x:c r="E42" s="12" t="str">
        <x:v>Female / AI-genius romance</x:v>
      </x:c>
      <x:c r="F42" s="12" t="str">
        <x:v>Rebirth / Love After Divorce / AI genius / CEO rival marriage</x:v>
      </x:c>
      <x:c r="G42" s="12" t="str">
        <x:v>Medium: 제목/소재가 AI theme일 뿐 제작 AIGC 아님. AIGC 트래커에서는 별도 ‘AI-theme only’로 격리.</x:v>
      </x:c>
      <x:c r="H42" s="12" t="str">
        <x:v>Current NetShort all-plots/hotseries/recent episode signal; exact app ranking needs in-app check.</x:v>
      </x:c>
      <x:c r="I42" s="20" t="n">
        <x:v>88</x:v>
      </x:c>
      <x:c r="J42" s="12" t="str">
        <x:v>B_Strong</x:v>
      </x:c>
      <x:c r="K42" s="12" t="str">
        <x:v>https://netshort.com/full-episodes/divorced-unmasked-the-ai-queen-rules-2014152893217890306</x:v>
      </x:c>
      <x:c r="L42" s="12" t="str">
        <x:v>제작방식 캡처/광고 소재 원본 확인 후 Direct 또는 Candidate 등급 조정.</x:v>
      </x:c>
    </x:row>
    <x:row r="43" ht="48" customHeight="1">
      <x:c r="A43" s="12" t="str">
        <x:v>2026-02</x:v>
      </x:c>
      <x:c r="B43" s="12" t="str">
        <x:v>NetShort</x:v>
      </x:c>
      <x:c r="C43" s="12" t="str">
        <x:v>Hidden Wolf King：A Hybrid Loser</x:v>
      </x:c>
      <x:c r="D43" s="12" t="str">
        <x:v>Live-action/werewolf fantasy; AIGC not flagged</x:v>
      </x:c>
      <x:c r="E43" s="12" t="str">
        <x:v>Male / Werewolf hidden power</x:v>
      </x:c>
      <x:c r="F43" s="12" t="str">
        <x:v>Werewolf / Hybrid loser / Hidden savior</x:v>
      </x:c>
      <x:c r="G43" s="12" t="str">
        <x:v>Medium: 늑대 변신/VFX 후보이나 제작 AIGC로 분류하지 않음.</x:v>
      </x:c>
      <x:c r="H43" s="12" t="str">
        <x:v>Current NetShort all-plots/hotseries/recent episode signal; exact app ranking needs in-app check.</x:v>
      </x:c>
      <x:c r="I43" s="20" t="n">
        <x:v>86</x:v>
      </x:c>
      <x:c r="J43" s="12" t="str">
        <x:v>B_Strong</x:v>
      </x:c>
      <x:c r="K43" s="12" t="str">
        <x:v>https://netshort.com/full-episodes/hidden-wolf-kinga-hybrid-loser-1986749243246444546</x:v>
      </x:c>
      <x:c r="L43" s="12" t="str">
        <x:v>제작방식 캡처/광고 소재 원본 확인 후 Direct 또는 Candidate 등급 조정.</x:v>
      </x:c>
    </x:row>
  </x:sheetData>
  <x:conditionalFormatting sqref="I2:I4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2:D43">
    <x:cfRule type="expression" dxfId="8" priority="2">
      <x:formula>ISNUMBER(SEARCH("Direct",$D2))</x:formula>
    </x:cfRule>
    <x:cfRule type="expression" dxfId="9" priority="3">
      <x:formula>ISNUMBER(SEARCH("candidate",$D2))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a93f440e5f4c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0" hidden="0" customWidth="1"/>
    <x:col min="4" max="4" width="38" hidden="0" customWidth="1"/>
    <x:col min="5" max="5" width="48" hidden="0" customWidth="1"/>
    <x:col min="6" max="6" width="34" hidden="0" customWidth="1"/>
  </x:cols>
  <x:sheetData>
    <x:row r="1">
      <x:c r="A1" s="6" t="str">
        <x:v>rank</x:v>
      </x:c>
      <x:c r="B1" s="6" t="str">
        <x:v>trope_or_keyword</x:v>
      </x:c>
      <x:c r="C1" s="6" t="str">
        <x:v>count</x:v>
      </x:c>
      <x:c r="D1" s="6" t="str">
        <x:v>platforms</x:v>
      </x:c>
      <x:c r="E1" s="6" t="str">
        <x:v>example_titles</x:v>
      </x:c>
      <x:c r="F1" s="6" t="str">
        <x:v>planning_note</x:v>
      </x:c>
    </x:row>
    <x:row r="2">
      <x:c r="A2" s="12" t="n">
        <x:v>1</x:v>
      </x:c>
      <x:c r="B2" s="12" t="str">
        <x:v>Revenge</x:v>
      </x:c>
      <x:c r="C2" s="20" t="n">
        <x:v>19</x:v>
      </x:c>
      <x:c r="D2" s="12" t="str">
        <x:v>DramaBox; DramaWave; GoodShort; NetShort; ReelShort</x:v>
      </x:c>
      <x:c r="E2" s="12" t="str">
        <x:v>Queen of the Vine; Cheating Death; No More Love, Just Trillions; The Last Time I Forgive (English-dubbed); I’m Done Being Your Simp</x:v>
      </x:c>
      <x:c r="F2" s="12" t="str">
        <x:v>여성향 결제 엔진 기본축</x:v>
      </x:c>
    </x:row>
    <x:row r="3">
      <x:c r="A3" s="12" t="n">
        <x:v>2</x:v>
      </x:c>
      <x:c r="B3" s="12" t="str">
        <x:v>CEO</x:v>
      </x:c>
      <x:c r="C3" s="20" t="n">
        <x:v>17</x:v>
      </x:c>
      <x:c r="D3" s="12" t="str">
        <x:v>DramaBox; DramaWave; GoodShort; NetShort; ReelShort</x:v>
      </x:c>
      <x:c r="E3" s="12" t="str">
        <x:v>CEO's No-No Clause; CEO's Baby Daddy Is the Merchant of Death; Taming of a Billionaire; Queen Mom Rules; Forever Was a Lie</x:v>
      </x:c>
      <x:c r="F3" s="12" t="str">
        <x:v>여성향 결제 엔진 기본축</x:v>
      </x:c>
    </x:row>
    <x:row r="4">
      <x:c r="A4" s="12" t="n">
        <x:v>3</x:v>
      </x:c>
      <x:c r="B4" s="12" t="str">
        <x:v>Werewolf</x:v>
      </x:c>
      <x:c r="C4" s="20" t="n">
        <x:v>14</x:v>
      </x:c>
      <x:c r="D4" s="12" t="str">
        <x:v>DramaBox; DramaWave; GoodShort; ReelShort</x:v>
      </x:c>
      <x:c r="E4" s="12" t="str">
        <x:v>Fated To My Forbidden Alpha; Accidental Surrogate for the Alpha; The Alpha King and His Virgin Bride; Divorce Tears From The Alpha But I Shine Alone; Unwanted True Mate</x:v>
      </x:c>
      <x:c r="F4" s="12" t="str">
        <x:v>보조/세부 변주</x:v>
      </x:c>
    </x:row>
    <x:row r="5">
      <x:c r="A5" s="12" t="n">
        <x:v>4</x:v>
      </x:c>
      <x:c r="B5" s="12" t="str">
        <x:v>Romance</x:v>
      </x:c>
      <x:c r="C5" s="20" t="n">
        <x:v>11</x:v>
      </x:c>
      <x:c r="D5" s="12" t="str">
        <x:v>DramaBox; DramaWave; GoodShort; NetShort; ReelShort</x:v>
      </x:c>
      <x:c r="E5" s="12" t="str">
        <x:v>그녀는 톱배우야!; Baby, Just Say Yes; Scandalous; All’s Fairway in Love at the Country Club; Perfect Love</x:v>
      </x:c>
      <x:c r="F5" s="12" t="str">
        <x:v>보조/세부 변주</x:v>
      </x:c>
    </x:row>
    <x:row r="6">
      <x:c r="A6" s="12" t="n">
        <x:v>5</x:v>
      </x:c>
      <x:c r="B6" s="12" t="str">
        <x:v>Karma Payback</x:v>
      </x:c>
      <x:c r="C6" s="20" t="n">
        <x:v>10</x:v>
      </x:c>
      <x:c r="D6" s="12" t="str">
        <x:v>NetShort</x:v>
      </x:c>
      <x:c r="E6" s="12" t="str">
        <x:v>Rise From the Ashes; Cheating Death; Crippled? No, I’m the Grandmaster!; Too Late to Come Back (Dubbed); Bye, Husband! My Protection’s Over</x:v>
      </x:c>
      <x:c r="F6" s="12" t="str">
        <x:v>보조/세부 변주</x:v>
      </x:c>
    </x:row>
    <x:row r="7">
      <x:c r="A7" s="12" t="n">
        <x:v>6</x:v>
      </x:c>
      <x:c r="B7" s="12" t="str">
        <x:v>Mafia</x:v>
      </x:c>
      <x:c r="C7" s="20" t="n">
        <x:v>10</x:v>
      </x:c>
      <x:c r="D7" s="12" t="str">
        <x:v>DramaBox; DramaWave; GoodShort; NetShort</x:v>
      </x:c>
      <x:c r="E7" s="12" t="str">
        <x:v>My Sister’s Fiancé, My Mafia Husband; Mafia's Good Girl; Sneak Me in Your Closet, My Prince; He's Too Late for Her Mafia Majesty; Sneak Me in Your Closet, My Prince</x:v>
      </x:c>
      <x:c r="F7" s="12" t="str">
        <x:v>여성향 결제 엔진 기본축</x:v>
      </x:c>
    </x:row>
    <x:row r="8">
      <x:c r="A8" s="12" t="n">
        <x:v>7</x:v>
      </x:c>
      <x:c r="B8" s="12" t="str">
        <x:v>All-Too-Late</x:v>
      </x:c>
      <x:c r="C8" s="20" t="n">
        <x:v>8</x:v>
      </x:c>
      <x:c r="D8" s="12" t="str">
        <x:v>DramaBox; NetShort; ReelShort</x:v>
      </x:c>
      <x:c r="E8" s="12" t="str">
        <x:v>When Love Runs Out; Until I Forget You; Bye, Husband! My Protection’s Over; Loved Him Once. Never Again; Bye Mr. Ice</x:v>
      </x:c>
      <x:c r="F8" s="12" t="str">
        <x:v>보조/세부 변주</x:v>
      </x:c>
    </x:row>
    <x:row r="9">
      <x:c r="A9" s="12" t="n">
        <x:v>8</x:v>
      </x:c>
      <x:c r="B9" s="12" t="str">
        <x:v>Enemies-to-Lovers</x:v>
      </x:c>
      <x:c r="C9" s="20" t="n">
        <x:v>8</x:v>
      </x:c>
      <x:c r="D9" s="12" t="str">
        <x:v>DramaBox; NetShort; ReelShort</x:v>
      </x:c>
      <x:c r="E9" s="12" t="str">
        <x:v>How to Tame a Tiny Tycoon; Her Double, His Trouble; Vicious; The Day My Stepbrother Knows My Dirty Secret; Fake Dating My Rich Nemesis</x:v>
      </x:c>
      <x:c r="F9" s="12" t="str">
        <x:v>보조/세부 변주</x:v>
      </x:c>
    </x:row>
    <x:row r="10">
      <x:c r="A10" s="12" t="n">
        <x:v>9</x:v>
      </x:c>
      <x:c r="B10" s="12" t="str">
        <x:v>Fantasy</x:v>
      </x:c>
      <x:c r="C10" s="20" t="n">
        <x:v>8</x:v>
      </x:c>
      <x:c r="D10" s="12" t="str">
        <x:v>DramaBox; DramaWave; GoodShort; NetShort; ReelShort</x:v>
      </x:c>
      <x:c r="E10" s="12" t="str">
        <x:v>My Wife Cheated, So I Became a God; Limitless Evolution: The Spider Scourge; Vicious; 악녀로 빙의중!; I'm Nothing but a Mortal (DUBBED)</x:v>
      </x:c>
      <x:c r="F10" s="12" t="str">
        <x:v>AIGC/남성향 확장 후보</x:v>
      </x:c>
    </x:row>
    <x:row r="11">
      <x:c r="A11" s="12" t="n">
        <x:v>10</x:v>
      </x:c>
      <x:c r="B11" s="12" t="str">
        <x:v>Second Chance</x:v>
      </x:c>
      <x:c r="C11" s="20" t="n">
        <x:v>8</x:v>
      </x:c>
      <x:c r="D11" s="12" t="str">
        <x:v>DramaBox; DramaWave; GoodShort; NetShort; ReelShort</x:v>
      </x:c>
      <x:c r="E11" s="12" t="str">
        <x:v>Till We Meet Again; I Had A Baby Without You; I Wish It Were You; Second Chance With Mafia Lover; Your Loser Husband Is A Big Shot</x:v>
      </x:c>
      <x:c r="F11" s="12" t="str">
        <x:v>보조/세부 변주</x:v>
      </x:c>
    </x:row>
    <x:row r="12">
      <x:c r="A12" s="12" t="n">
        <x:v>11</x:v>
      </x:c>
      <x:c r="B12" s="12" t="str">
        <x:v>BL</x:v>
      </x:c>
      <x:c r="C12" s="20" t="n">
        <x:v>8</x:v>
      </x:c>
      <x:c r="D12" s="12" t="str">
        <x:v>DramaWave; GoodShort; ReelShort</x:v>
      </x:c>
      <x:c r="E12" s="12" t="str">
        <x:v>The Prince's First Love; Sneak Me in Your Closet, My Prince; Sneak Me in Your Closet, My Prince; Sneak Me in Your Closet, My Prince; Pucked by My Hockey Rival</x:v>
      </x:c>
      <x:c r="F12" s="12" t="str">
        <x:v>보조/세부 변주</x:v>
      </x:c>
    </x:row>
    <x:row r="13">
      <x:c r="A13" s="12" t="n">
        <x:v>12</x:v>
      </x:c>
      <x:c r="B13" s="12" t="str">
        <x:v>Regret</x:v>
      </x:c>
      <x:c r="C13" s="20" t="n">
        <x:v>8</x:v>
      </x:c>
      <x:c r="D13" s="12" t="str">
        <x:v>DramaBox; DramaWave; GoodShort</x:v>
      </x:c>
      <x:c r="E13" s="12" t="str">
        <x:v>Miss You After Goodbye; His Love Was A Lie; If I Never Loved You; His Love Was A Lie; He's Too Late for Her Mafia Majesty</x:v>
      </x:c>
      <x:c r="F13" s="12" t="str">
        <x:v>여성향 결제 엔진 기본축</x:v>
      </x:c>
    </x:row>
    <x:row r="14">
      <x:c r="A14" s="12" t="n">
        <x:v>13</x:v>
      </x:c>
      <x:c r="B14" s="12" t="str">
        <x:v>Contract Marriage</x:v>
      </x:c>
      <x:c r="C14" s="20" t="n">
        <x:v>7</x:v>
      </x:c>
      <x:c r="D14" s="12" t="str">
        <x:v>DramaBox; DramaWave; GoodShort; NetShort</x:v>
      </x:c>
      <x:c r="E14" s="12" t="str">
        <x:v>재벌의 위장 결혼; Flash Marriage to My Billionaire Hobo Hubby; Married for Greencard, Stayed for Love; "Ordinary" Life and "Poor" Husband; Ordinary Life and Poor Husband</x:v>
      </x:c>
      <x:c r="F14" s="12" t="str">
        <x:v>여성향 결제 엔진 기본축</x:v>
      </x:c>
    </x:row>
    <x:row r="15">
      <x:c r="A15" s="12" t="n">
        <x:v>14</x:v>
      </x:c>
      <x:c r="B15" s="12" t="str">
        <x:v>Fantasy-Male</x:v>
      </x:c>
      <x:c r="C15" s="20" t="n">
        <x:v>7</x:v>
      </x:c>
      <x:c r="D15" s="12" t="str">
        <x:v>GoodShort</x:v>
      </x:c>
      <x:c r="E15" s="12" t="str">
        <x:v>My Exclusive Wish Granter; Transcendence; Titan Era: Ten Divine Beasts Rise with Me; Titan Era: Ten Divine Beasts Rise with Me; My Exclusive Wish Granter</x:v>
      </x:c>
      <x:c r="F15" s="12" t="str">
        <x:v>AIGC/남성향 확장 후보</x:v>
      </x:c>
    </x:row>
    <x:row r="16">
      <x:c r="A16" s="12" t="n">
        <x:v>15</x:v>
      </x:c>
      <x:c r="B16" s="12" t="str">
        <x:v>Fake Heiress</x:v>
      </x:c>
      <x:c r="C16" s="20" t="n">
        <x:v>7</x:v>
      </x:c>
      <x:c r="D16" s="12" t="str">
        <x:v>GoodShort</x:v>
      </x:c>
      <x:c r="E16" s="12" t="str">
        <x:v>Blood and Bones of the Disowned Daughter; Blood and Bones of the Disowned Daughter; Blood and Bones of the Disowned Daughter; Blood and Bones of the Disowned Daughter; Blood and Bones of the Disowned Daughter</x:v>
      </x:c>
      <x:c r="F16" s="12" t="str">
        <x:v>여성향 결제 엔진 기본축</x:v>
      </x:c>
    </x:row>
    <x:row r="17">
      <x:c r="A17" s="12" t="n">
        <x:v>16</x:v>
      </x:c>
      <x:c r="B17" s="12" t="str">
        <x:v>revenge</x:v>
      </x:c>
      <x:c r="C17" s="20" t="n">
        <x:v>7</x:v>
      </x:c>
      <x:c r="D17" s="12" t="str">
        <x:v>GoodShort; NetShort; ReelShort</x:v>
      </x:c>
      <x:c r="E17" s="12" t="str">
        <x:v>Your Husband Is Mine; Sisterhood of Lies: Pledge for Revenge; Too Late, Alphas; My New Daddy is a Five-Star General; Found A Homeless Genius To Save My Company</x:v>
      </x:c>
      <x:c r="F17" s="12" t="str">
        <x:v>여성향 결제 엔진 기본축</x:v>
      </x:c>
    </x:row>
    <x:row r="18">
      <x:c r="A18" s="12" t="n">
        <x:v>17</x:v>
      </x:c>
      <x:c r="B18" s="12" t="str">
        <x:v>Hidden Identity</x:v>
      </x:c>
      <x:c r="C18" s="20" t="n">
        <x:v>6</x:v>
      </x:c>
      <x:c r="D18" s="12" t="str">
        <x:v>NetShort; ReelShort</x:v>
      </x:c>
      <x:c r="E18" s="12" t="str">
        <x:v>Married to a Hidden King; 그녀는 톱배우야!; What My Poor Ex-Wife Is My Boss; The Beggar King Returns; She’s Not Homeless, She’s Healer Goddess</x:v>
      </x:c>
      <x:c r="F18" s="12" t="str">
        <x:v>보조/세부 변주</x:v>
      </x:c>
    </x:row>
    <x:row r="19">
      <x:c r="A19" s="12" t="n">
        <x:v>18</x:v>
      </x:c>
      <x:c r="B19" s="12" t="str">
        <x:v>Feel-Good</x:v>
      </x:c>
      <x:c r="C19" s="20" t="n">
        <x:v>6</x:v>
      </x:c>
      <x:c r="D19" s="12" t="str">
        <x:v>GoodShort; NetShort</x:v>
      </x:c>
      <x:c r="E19" s="12" t="str">
        <x:v>Behave Yourself, Princess! (Dubbed); 1000 Years in a Loop!; Marry Me? No, Killed Me!; No More Love, Just Trillions; Perfect Love</x:v>
      </x:c>
      <x:c r="F19" s="12" t="str">
        <x:v>보조/세부 변주</x:v>
      </x:c>
    </x:row>
    <x:row r="20">
      <x:c r="A20" s="12" t="n">
        <x:v>19</x:v>
      </x:c>
      <x:c r="B20" s="12" t="str">
        <x:v>Underdog Rise</x:v>
      </x:c>
      <x:c r="C20" s="20" t="n">
        <x:v>6</x:v>
      </x:c>
      <x:c r="D20" s="12" t="str">
        <x:v>NetShort</x:v>
      </x:c>
      <x:c r="E20" s="12" t="str">
        <x:v>My Wife Cheated, So I Became a God; Marry My Father-in-Law for Revenge; My Family Framed Me. Time For Payback!; One Move God Mode; The Godmaker’s Return</x:v>
      </x:c>
      <x:c r="F20" s="12" t="str">
        <x:v>보조/세부 변주</x:v>
      </x:c>
    </x:row>
    <x:row r="21">
      <x:c r="A21" s="12" t="n">
        <x:v>20</x:v>
      </x:c>
      <x:c r="B21" s="12" t="str">
        <x:v>Pregnancy</x:v>
      </x:c>
      <x:c r="C21" s="20" t="n">
        <x:v>5</x:v>
      </x:c>
      <x:c r="D21" s="12" t="str">
        <x:v>DramaBox; GoodShort; NetShort; ReelShort</x:v>
      </x:c>
      <x:c r="E21" s="12" t="str">
        <x:v>Dumped Me Pregnant? Pay Up Mr Crazy; Carrying His Triplets, Becoming His Wifey; Baby, Just Say Yes; Knocked Up by the Silver Fox Alpha; Pengantin CEO Yang Bisu / Mute CEO Bride</x:v>
      </x:c>
      <x:c r="F21" s="12" t="str">
        <x:v>여성향 결제 엔진 기본축</x:v>
      </x:c>
    </x:row>
    <x:row r="22">
      <x:c r="A22" s="12" t="n">
        <x:v>21</x:v>
      </x:c>
      <x:c r="B22" s="12" t="str">
        <x:v>Forbidden Love</x:v>
      </x:c>
      <x:c r="C22" s="20" t="n">
        <x:v>5</x:v>
      </x:c>
      <x:c r="D22" s="12" t="str">
        <x:v>GoodShort; ReelShort</x:v>
      </x:c>
      <x:c r="E22" s="12" t="str">
        <x:v>Tell Me Not to Love You; Tell Me Not to Love You; Cousins by Name, Lovers in Secret; Cousins by Name, Lovers in Secret; Sneak Me in Your Closet, My Prince</x:v>
      </x:c>
      <x:c r="F22" s="12" t="str">
        <x:v>보조/세부 변주</x:v>
      </x:c>
    </x:row>
    <x:row r="23">
      <x:c r="A23" s="12" t="n">
        <x:v>22</x:v>
      </x:c>
      <x:c r="B23" s="12" t="str">
        <x:v>Strong Female Lead</x:v>
      </x:c>
      <x:c r="C23" s="20" t="n">
        <x:v>5</x:v>
      </x:c>
      <x:c r="D23" s="12" t="str">
        <x:v>DramaBox; DramaWave</x:v>
      </x:c>
      <x:c r="E23" s="12" t="str">
        <x:v>Love Is a Game, I Play for Power; Watch Out, I'm The Lady Boss; Queen Mom Rules; Watch Out, I’m The Lady Boss; Delta Force Queen Returns</x:v>
      </x:c>
      <x:c r="F23" s="12" t="str">
        <x:v>보조/세부 변주</x:v>
      </x:c>
    </x:row>
    <x:row r="24">
      <x:c r="A24" s="12" t="n">
        <x:v>23</x:v>
      </x:c>
      <x:c r="B24" s="12" t="str">
        <x:v>System</x:v>
      </x:c>
      <x:c r="C24" s="20" t="n">
        <x:v>5</x:v>
      </x:c>
      <x:c r="D24" s="12" t="str">
        <x:v>GoodShort</x:v>
      </x:c>
      <x:c r="E24" s="12" t="str">
        <x:v>Titan Era: Ten Divine Beasts Rise with Me; Titan Era: Ten Divine Beasts Rise with Me; Titan Era: Ten Divine Beasts Rise with Me; Titan Era: Ten Divine Beasts Rise with Me; Titan Era: Ten Divine Beasts Rise with Me</x:v>
      </x:c>
      <x:c r="F24" s="12" t="str">
        <x:v>AIGC/남성향 확장 후보</x:v>
      </x:c>
    </x:row>
    <x:row r="25">
      <x:c r="A25" s="12" t="n">
        <x:v>24</x:v>
      </x:c>
      <x:c r="B25" s="12" t="str">
        <x:v>AI Microdrama</x:v>
      </x:c>
      <x:c r="C25" s="20" t="n">
        <x:v>5</x:v>
      </x:c>
      <x:c r="D25" s="12" t="str">
        <x:v>DramaWave</x:v>
      </x:c>
      <x:c r="E25" s="12" t="str">
        <x:v>DramaWave AI content push begins; AI Micro-Drama Global Expansion cluster; DramaWave AI/SEA pilot cluster; AI Micro-Dramas Go Global cluster; DramaWave AI launch/catalog phase</x:v>
      </x:c>
      <x:c r="F25" s="12" t="str">
        <x:v>AIGC/남성향 확장 후보</x:v>
      </x:c>
    </x:row>
    <x:row r="26">
      <x:c r="A26" s="12" t="n">
        <x:v>25</x:v>
      </x:c>
      <x:c r="B26" s="12" t="str">
        <x:v>AI-generated</x:v>
      </x:c>
      <x:c r="C26" s="20" t="n">
        <x:v>5</x:v>
      </x:c>
      <x:c r="D26" s="12" t="str">
        <x:v>DramaWave</x:v>
      </x:c>
      <x:c r="E26" s="12" t="str">
        <x:v>When the Moon Hides Crown; When the Moon Hides Crown; When the Moon Hides Crown; When the Moon Hides Crown; When the Moon Hides Crown</x:v>
      </x:c>
      <x:c r="F26" s="12" t="str">
        <x:v>AIGC/남성향 확장 후보</x:v>
      </x:c>
    </x:row>
    <x:row r="27">
      <x:c r="A27" s="12" t="n">
        <x:v>26</x:v>
      </x:c>
      <x:c r="B27" s="12" t="str">
        <x:v>Werewolf Academy</x:v>
      </x:c>
      <x:c r="C27" s="20" t="n">
        <x:v>5</x:v>
      </x:c>
      <x:c r="D27" s="12" t="str">
        <x:v>DramaWave</x:v>
      </x:c>
      <x:c r="E27" s="12" t="str">
        <x:v>When the Moon Hides Crown; When the Moon Hides Crown; When the Moon Hides Crown; When the Moon Hides Crown; When the Moon Hides Crown</x:v>
      </x:c>
      <x:c r="F27" s="12" t="str">
        <x:v>보조/세부 변주</x:v>
      </x:c>
    </x:row>
    <x:row r="28">
      <x:c r="A28" s="12" t="n">
        <x:v>27</x:v>
      </x:c>
      <x:c r="B28" s="12" t="str">
        <x:v>second chance</x:v>
      </x:c>
      <x:c r="C28" s="20" t="n">
        <x:v>5</x:v>
      </x:c>
      <x:c r="D28" s="12" t="str">
        <x:v>GoodShort; NetShort; ReelShort</x:v>
      </x:c>
      <x:c r="E28" s="12" t="str">
        <x:v>Operation Christmas Trap; The Cooking Queen: A Recipe for Divorce; Found A Homeless Genius To Save My Company; Mommy Hold On I Brought Daddy to Save You; Baby Tycoon &amp; Her Reward System</x:v>
      </x:c>
      <x:c r="F28" s="12" t="str">
        <x:v>보조/세부 변주</x:v>
      </x:c>
    </x:row>
    <x:row r="29">
      <x:c r="A29" s="12" t="n">
        <x:v>28</x:v>
      </x:c>
      <x:c r="B29" s="12" t="str">
        <x:v>divorce</x:v>
      </x:c>
      <x:c r="C29" s="20" t="n">
        <x:v>5</x:v>
      </x:c>
      <x:c r="D29" s="12" t="str">
        <x:v>DramaBox; NetShort; ReelShort</x:v>
      </x:c>
      <x:c r="E29" s="12" t="str">
        <x:v>The Cooking Queen: A Recipe for Divorce; Three Chances, Then Goodbye; The 5-time rejected luna; Divorced &amp; Unmasked: The AI Queen Rules; The Discarded Ace</x:v>
      </x:c>
      <x:c r="F29" s="12" t="str">
        <x:v>보조/세부 변주</x:v>
      </x:c>
    </x:row>
    <x:row r="30">
      <x:c r="A30" s="12" t="n">
        <x:v>29</x:v>
      </x:c>
      <x:c r="B30" s="12" t="str">
        <x:v>Return King</x:v>
      </x:c>
      <x:c r="C30" s="20" t="n">
        <x:v>4</x:v>
      </x:c>
      <x:c r="D30" s="12" t="str">
        <x:v>NetShort; ReelShort</x:v>
      </x:c>
      <x:c r="E30" s="12" t="str">
        <x:v>When Love Runs Out; Crippled? No, I’m the Grandmaster!; The Godmaker’s Return; The Beggar King Returns</x:v>
      </x:c>
      <x:c r="F30" s="12" t="str">
        <x:v>보조/세부 변주</x:v>
      </x:c>
    </x:row>
    <x:row r="31">
      <x:c r="A31" s="12" t="n">
        <x:v>30</x:v>
      </x:c>
      <x:c r="B31" s="12" t="str">
        <x:v>One-Night Stand</x:v>
      </x:c>
      <x:c r="C31" s="20" t="n">
        <x:v>4</x:v>
      </x:c>
      <x:c r="D31" s="12" t="str">
        <x:v>GoodShort; NetShort</x:v>
      </x:c>
      <x:c r="E31" s="12" t="str">
        <x:v>Oops, My Toyboy is a Heir; Behave Yourself, Princess! (Dubbed); Loved Him Once. Never Again; Blooming Under Your Love</x:v>
      </x:c>
      <x:c r="F31" s="12" t="str">
        <x:v>보조/세부 변주</x:v>
      </x:c>
    </x:row>
    <x:row r="32">
      <x:c r="A32" s="12" t="n">
        <x:v>31</x:v>
      </x:c>
      <x:c r="B32" s="12" t="str">
        <x:v>Heiress</x:v>
      </x:c>
      <x:c r="C32" s="20" t="n">
        <x:v>4</x:v>
      </x:c>
      <x:c r="D32" s="12" t="str">
        <x:v>DramaWave; GoodShort; ReelShort</x:v>
      </x:c>
      <x:c r="E32" s="12" t="str">
        <x:v>She Said Yes They Said Oops; Was the Heiress Switched at Birth?; Do Not Disturb: Lady Boss in Disguise!; The Princess Returns</x:v>
      </x:c>
      <x:c r="F32" s="12" t="str">
        <x:v>여성향 결제 엔진 기본축</x:v>
      </x:c>
    </x:row>
    <x:row r="33">
      <x:c r="A33" s="12" t="n">
        <x:v>32</x:v>
      </x:c>
      <x:c r="B33" s="12" t="str">
        <x:v>Family</x:v>
      </x:c>
      <x:c r="C33" s="20" t="n">
        <x:v>4</x:v>
      </x:c>
      <x:c r="D33" s="12" t="str">
        <x:v>DramaBox; ReelShort</x:v>
      </x:c>
      <x:c r="E33" s="12" t="str">
        <x:v>I Had A Baby Without You; Operation Christmas Trap; Family by Love or by Blood; Queen Mom Rules</x:v>
      </x:c>
      <x:c r="F33" s="12" t="str">
        <x:v>여성향 결제 엔진 기본축</x:v>
      </x:c>
    </x:row>
    <x:row r="34">
      <x:c r="A34" s="12" t="n">
        <x:v>33</x:v>
      </x:c>
      <x:c r="B34" s="12" t="str">
        <x:v>Divorce</x:v>
      </x:c>
      <x:c r="C34" s="20" t="n">
        <x:v>4</x:v>
      </x:c>
      <x:c r="D34" s="12" t="str">
        <x:v>DramaBox; DramaWave; ReelShort</x:v>
      </x:c>
      <x:c r="E34" s="12" t="str">
        <x:v>Divorce Tears From The Alpha But I Shine Alone; Divorced, Now a Lycan Princess; Love at Fifty; Love at Fifty</x:v>
      </x:c>
      <x:c r="F34" s="12" t="str">
        <x:v>보조/세부 변주</x:v>
      </x:c>
    </x:row>
    <x:row r="35">
      <x:c r="A35" s="12" t="n">
        <x:v>34</x:v>
      </x:c>
      <x:c r="B35" s="12" t="str">
        <x:v>Hidden CEO</x:v>
      </x:c>
      <x:c r="C35" s="20" t="n">
        <x:v>4</x:v>
      </x:c>
      <x:c r="D35" s="12" t="str">
        <x:v>DramaBox; GoodShort</x:v>
      </x:c>
      <x:c r="E35" s="12" t="str">
        <x:v>Flash Marriage to My Billionaire Hobo Hubby; "Ordinary" Life and "Poor" Husband; Ordinary Life and Poor Husband; Ordinary Life and Poor Husband</x:v>
      </x:c>
      <x:c r="F35" s="12" t="str">
        <x:v>여성향 결제 엔진 기본축</x:v>
      </x:c>
    </x:row>
    <x:row r="36">
      <x:c r="A36" s="12" t="n">
        <x:v>35</x:v>
      </x:c>
      <x:c r="B36" s="12" t="str">
        <x:v>Hockey</x:v>
      </x:c>
      <x:c r="C36" s="20" t="n">
        <x:v>4</x:v>
      </x:c>
      <x:c r="D36" s="12" t="str">
        <x:v>DramaBox; DramaWave</x:v>
      </x:c>
      <x:c r="E36" s="12" t="str">
        <x:v>Pucked by My Brother's Rival; Pucked by My Hockey Rival; Pucked by My Hockey Rival; Pucked by My Hockey Rival</x:v>
      </x:c>
      <x:c r="F36" s="12" t="str">
        <x:v>보조/세부 변주</x:v>
      </x:c>
    </x:row>
    <x:row r="37">
      <x:c r="A37" s="12" t="n">
        <x:v>36</x:v>
      </x:c>
      <x:c r="B37" s="12" t="str">
        <x:v>Disowned Daughter</x:v>
      </x:c>
      <x:c r="C37" s="20" t="n">
        <x:v>4</x:v>
      </x:c>
      <x:c r="D37" s="12" t="str">
        <x:v>GoodShort</x:v>
      </x:c>
      <x:c r="E37" s="12" t="str">
        <x:v>Blood and Bones of the Disowned Daughter; Blood and Bones of the Disowned Daughter; Blood and Bones of the Disowned Daughter; Blood and Bones of the Disowned Daughter</x:v>
      </x:c>
      <x:c r="F37" s="12" t="str">
        <x:v>보조/세부 변주</x:v>
      </x:c>
    </x:row>
    <x:row r="38">
      <x:c r="A38" s="12" t="n">
        <x:v>37</x:v>
      </x:c>
      <x:c r="B38" s="12" t="str">
        <x:v>Secret Heiress</x:v>
      </x:c>
      <x:c r="C38" s="20" t="n">
        <x:v>4</x:v>
      </x:c>
      <x:c r="D38" s="12" t="str">
        <x:v>DramaWave</x:v>
      </x:c>
      <x:c r="E38" s="12" t="str">
        <x:v>Never Break a Queen’s Heart; Never Break a Queen’s Heart; Never Break A Queen’s Heart; Never Break A Queen’s Heart</x:v>
      </x:c>
      <x:c r="F38" s="12" t="str">
        <x:v>여성향 결제 엔진 기본축</x:v>
      </x:c>
    </x:row>
    <x:row r="39">
      <x:c r="A39" s="12" t="n">
        <x:v>38</x:v>
      </x:c>
      <x:c r="B39" s="12" t="str">
        <x:v>regret</x:v>
      </x:c>
      <x:c r="C39" s="20" t="n">
        <x:v>4</x:v>
      </x:c>
      <x:c r="D39" s="12" t="str">
        <x:v>DramaBox; DramaWave; NetShort</x:v>
      </x:c>
      <x:c r="E39" s="12" t="str">
        <x:v>Three Chances, I’m Gone Forever; The 5-time rejected luna; Daddy, Can You Hear Me Cry?; Mommy, Why Does Daddy Hate Me</x:v>
      </x:c>
      <x:c r="F39" s="12" t="str">
        <x:v>여성향 결제 엔진 기본축</x:v>
      </x:c>
    </x:row>
    <x:row r="40">
      <x:c r="A40" s="12" t="n">
        <x:v>39</x:v>
      </x:c>
      <x:c r="B40" s="12" t="str">
        <x:v>system</x:v>
      </x:c>
      <x:c r="C40" s="20" t="n">
        <x:v>4</x:v>
      </x:c>
      <x:c r="D40" s="12" t="str">
        <x:v>GoodShort; NetShort</x:v>
      </x:c>
      <x:c r="E40" s="12" t="str">
        <x:v>The Romance System in a Dead World; Baby Tycoon &amp; Her Reward System; The Discarded Ace; 說好的乙遊戀愛呢？執事怎麼全員黑化了！</x:v>
      </x:c>
      <x:c r="F40" s="12" t="str">
        <x:v>AIGC/남성향 확장 후보</x:v>
      </x:c>
    </x:row>
    <x:row r="41">
      <x:c r="A41" s="12" t="n">
        <x:v>40</x:v>
      </x:c>
      <x:c r="B41" s="12" t="str">
        <x:v>Marriage</x:v>
      </x:c>
      <x:c r="C41" s="20" t="n">
        <x:v>3</x:v>
      </x:c>
      <x:c r="D41" s="12" t="str">
        <x:v>DramaBox; GoodShort; NetShort</x:v>
      </x:c>
      <x:c r="E41" s="12" t="str">
        <x:v>Married to a Hidden King; Your Billionaire Bride Is My Cheating Wife; Mistaken Encounter, Unexpected Love</x:v>
      </x:c>
      <x:c r="F41" s="12" t="str">
        <x:v>여성향 결제 엔진 기본축</x:v>
      </x:c>
    </x:row>
    <x:row r="42">
      <x:c r="A42" s="12" t="n">
        <x:v>41</x:v>
      </x:c>
      <x:c r="B42" s="12" t="str">
        <x:v>Hidden Heir</x:v>
      </x:c>
      <x:c r="C42" s="20" t="n">
        <x:v>3</x:v>
      </x:c>
      <x:c r="D42" s="12" t="str">
        <x:v>DramaWave; NetShort</x:v>
      </x:c>
      <x:c r="E42" s="12" t="str">
        <x:v>My Sister’s Fiancé, My Mafia Husband; Traded to the Shadow Heir; Traded to the Shadow Heir</x:v>
      </x:c>
      <x:c r="F42" s="12" t="str">
        <x:v>보조/세부 변주</x:v>
      </x:c>
    </x:row>
    <x:row r="43">
      <x:c r="A43" s="12" t="n">
        <x:v>42</x:v>
      </x:c>
      <x:c r="B43" s="12" t="str">
        <x:v>Contract Lovers</x:v>
      </x:c>
      <x:c r="C43" s="20" t="n">
        <x:v>3</x:v>
      </x:c>
      <x:c r="D43" s="12" t="str">
        <x:v>NetShort</x:v>
      </x:c>
      <x:c r="E43" s="12" t="str">
        <x:v>My Brother-in-Law's Secret Obsession; Biting into Sweet Love; I Bet All I Have on Him</x:v>
      </x:c>
      <x:c r="F43" s="12" t="str">
        <x:v>보조/세부 변주</x:v>
      </x:c>
    </x:row>
    <x:row r="44">
      <x:c r="A44" s="12" t="n">
        <x:v>43</x:v>
      </x:c>
      <x:c r="B44" s="12" t="str">
        <x:v>Tragic Love</x:v>
      </x:c>
      <x:c r="C44" s="20" t="n">
        <x:v>3</x:v>
      </x:c>
      <x:c r="D44" s="12" t="str">
        <x:v>NetShort</x:v>
      </x:c>
      <x:c r="E44" s="12" t="str">
        <x:v>Bye Mr. Ice; Till We Meet Again; You Loved A Lie, Mr. Idiot!</x:v>
      </x:c>
      <x:c r="F44" s="12" t="str">
        <x:v>보조/세부 변주</x:v>
      </x:c>
    </x:row>
    <x:row r="45">
      <x:c r="A45" s="12" t="n">
        <x:v>44</x:v>
      </x:c>
      <x:c r="B45" s="12" t="str">
        <x:v>Secret Identity</x:v>
      </x:c>
      <x:c r="C45" s="20" t="n">
        <x:v>3</x:v>
      </x:c>
      <x:c r="D45" s="12" t="str">
        <x:v>DramaBox; NetShort; ReelShort</x:v>
      </x:c>
      <x:c r="E45" s="12" t="str">
        <x:v>불꽃 속의 귀환; Fated To My Forbidden Alpha; Your Loser Husband Is A Big Shot</x:v>
      </x:c>
      <x:c r="F45" s="12" t="str">
        <x:v>보조/세부 변주</x:v>
      </x:c>
    </x:row>
    <x:row r="46">
      <x:c r="A46" s="12" t="n">
        <x:v>45</x:v>
      </x:c>
      <x:c r="B46" s="12" t="str">
        <x:v>Redemption</x:v>
      </x:c>
      <x:c r="C46" s="20" t="n">
        <x:v>3</x:v>
      </x:c>
      <x:c r="D46" s="12" t="str">
        <x:v>DramaBox; NetShort</x:v>
      </x:c>
      <x:c r="E46" s="12" t="str">
        <x:v>Go Dutch? My Mom Strikes Back; I Bet All I Have on Him; Second Chance With Mafia Lover</x:v>
      </x:c>
      <x:c r="F46" s="12" t="str">
        <x:v>보조/세부 변주</x:v>
      </x:c>
    </x:row>
    <x:row r="47">
      <x:c r="A47" s="12" t="n">
        <x:v>46</x:v>
      </x:c>
      <x:c r="B47" s="12" t="str">
        <x:v>Revenge Romance</x:v>
      </x:c>
      <x:c r="C47" s="20" t="n">
        <x:v>3</x:v>
      </x:c>
      <x:c r="D47" s="12" t="str">
        <x:v>DramaWave; ReelShort</x:v>
      </x:c>
      <x:c r="E47" s="12" t="str">
        <x:v>What My Poor Ex-Wife Is My Boss; The Princess Returns; The Mafia Boss's Regret</x:v>
      </x:c>
      <x:c r="F47" s="12" t="str">
        <x:v>여성향 결제 엔진 기본축</x:v>
      </x:c>
    </x:row>
    <x:row r="48">
      <x:c r="A48" s="12" t="n">
        <x:v>47</x:v>
      </x:c>
      <x:c r="B48" s="12" t="str">
        <x:v>Fated Mate</x:v>
      </x:c>
      <x:c r="C48" s="20" t="n">
        <x:v>3</x:v>
      </x:c>
      <x:c r="D48" s="12" t="str">
        <x:v>DramaBox; ReelShort</x:v>
      </x:c>
      <x:c r="E48" s="12" t="str">
        <x:v>Fated To My Forbidden Alpha; Fated to My Ruthless Alpha; Fated to My Ruthless Alpha</x:v>
      </x:c>
      <x:c r="F48" s="12" t="str">
        <x:v>보조/세부 변주</x:v>
      </x:c>
    </x:row>
    <x:row r="49">
      <x:c r="A49" s="12" t="n">
        <x:v>48</x:v>
      </x:c>
      <x:c r="B49" s="12" t="str">
        <x:v>Love Triangle</x:v>
      </x:c>
      <x:c r="C49" s="20" t="n">
        <x:v>3</x:v>
      </x:c>
      <x:c r="D49" s="12" t="str">
        <x:v>DramaBox; GoodShort; ReelShort</x:v>
      </x:c>
      <x:c r="E49" s="12" t="str">
        <x:v>Fated To My Forbidden Alpha; They Love Me Too Late; Mistaken Encounter, Unexpected Love</x:v>
      </x:c>
      <x:c r="F49" s="12" t="str">
        <x:v>보조/세부 변주</x:v>
      </x:c>
    </x:row>
    <x:row r="50">
      <x:c r="A50" s="12" t="n">
        <x:v>49</x:v>
      </x:c>
      <x:c r="B50" s="12" t="str">
        <x:v>Fake Dating</x:v>
      </x:c>
      <x:c r="C50" s="20" t="n">
        <x:v>3</x:v>
      </x:c>
      <x:c r="D50" s="12" t="str">
        <x:v>DramaBox; ReelShort</x:v>
      </x:c>
      <x:c r="E50" s="12" t="str">
        <x:v>The Hidden Billionaire in First Class; Fake Dating My Rich Nemesis; Faking It with the Hockey Captain</x:v>
      </x:c>
      <x:c r="F50" s="12" t="str">
        <x:v>보조/세부 변주</x:v>
      </x:c>
    </x:row>
    <x:row r="51">
      <x:c r="A51" s="12" t="n">
        <x:v>50</x:v>
      </x:c>
      <x:c r="B51" s="12" t="str">
        <x:v>Family Revenge</x:v>
      </x:c>
      <x:c r="C51" s="20" t="n">
        <x:v>3</x:v>
      </x:c>
      <x:c r="D51" s="12" t="str">
        <x:v>GoodShort; ReelShort</x:v>
      </x:c>
      <x:c r="E51" s="12" t="str">
        <x:v>Queen Mom Rules; Was the Heiress Switched at Birth?; Blood and Bones of the Disowned Daughter</x:v>
      </x:c>
      <x:c r="F51" s="12" t="str">
        <x:v>여성향 결제 엔진 기본축</x:v>
      </x:c>
    </x:row>
    <x:row r="52">
      <x:c r="A52" s="12" t="n">
        <x:v>51</x:v>
      </x:c>
      <x:c r="B52" s="12" t="str">
        <x:v>Action</x:v>
      </x:c>
      <x:c r="C52" s="20" t="n">
        <x:v>3</x:v>
      </x:c>
      <x:c r="D52" s="12" t="str">
        <x:v>ReelShort</x:v>
      </x:c>
      <x:c r="E52" s="12" t="str">
        <x:v>The Beggar King Returns; King of Guns; To Save His Daughter He Must Become A Killer</x:v>
      </x:c>
      <x:c r="F52" s="12" t="str">
        <x:v>보조/세부 변주</x:v>
      </x:c>
    </x:row>
    <x:row r="53">
      <x:c r="A53" s="12" t="n">
        <x:v>52</x:v>
      </x:c>
      <x:c r="B53" s="12" t="str">
        <x:v>Cheating</x:v>
      </x:c>
      <x:c r="C53" s="20" t="n">
        <x:v>3</x:v>
      </x:c>
      <x:c r="D53" s="12" t="str">
        <x:v>DramaBox; ReelShort</x:v>
      </x:c>
      <x:c r="E53" s="12" t="str">
        <x:v>The Last Time I Forgive (English-dubbed); His Love Was A Lie; His Love Was A Lie</x:v>
      </x:c>
      <x:c r="F53" s="12" t="str">
        <x:v>보조/세부 변주</x:v>
      </x:c>
    </x:row>
    <x:row r="54">
      <x:c r="A54" s="12" t="n">
        <x:v>53</x:v>
      </x:c>
      <x:c r="B54" s="12" t="str">
        <x:v>Betrayal</x:v>
      </x:c>
      <x:c r="C54" s="20" t="n">
        <x:v>3</x:v>
      </x:c>
      <x:c r="D54" s="12" t="str">
        <x:v>DramaBox; DramaWave</x:v>
      </x:c>
      <x:c r="E54" s="12" t="str">
        <x:v>Divorced at the Wedding Day; Forever After, Never Again; Traded to the Shadow Heir</x:v>
      </x:c>
      <x:c r="F54" s="12" t="str">
        <x:v>보조/세부 변주</x:v>
      </x:c>
    </x:row>
    <x:row r="55">
      <x:c r="A55" s="12" t="n">
        <x:v>54</x:v>
      </x:c>
      <x:c r="B55" s="12" t="str">
        <x:v>Lady Boss</x:v>
      </x:c>
      <x:c r="C55" s="20" t="n">
        <x:v>3</x:v>
      </x:c>
      <x:c r="D55" s="12" t="str">
        <x:v>DramaBox; GoodShort</x:v>
      </x:c>
      <x:c r="E55" s="12" t="str">
        <x:v>Watch Out, I'm The Lady Boss; Watch Out, I’m The Lady Boss; Do Not Disturb: Lady Boss in Disguise!</x:v>
      </x:c>
      <x:c r="F55" s="12" t="str">
        <x:v>보조/세부 변주</x:v>
      </x:c>
    </x:row>
    <x:row r="56">
      <x:c r="A56" s="12" t="n">
        <x:v>55</x:v>
      </x:c>
      <x:c r="B56" s="12" t="str">
        <x:v>Stepbrother</x:v>
      </x:c>
      <x:c r="C56" s="20" t="n">
        <x:v>3</x:v>
      </x:c>
      <x:c r="D56" s="12" t="str">
        <x:v>DramaBox; DramaWave</x:v>
      </x:c>
      <x:c r="E56" s="12" t="str">
        <x:v>The Day My Stepbrother Knows My Dirty Secret; The Day My Stepbrother Knows My Dirty Secret; Marked by My Alpha Stepbrother</x:v>
      </x:c>
      <x:c r="F56" s="12" t="str">
        <x:v>보조/세부 변주</x:v>
      </x:c>
    </x:row>
    <x:row r="57">
      <x:c r="A57" s="12" t="n">
        <x:v>56</x:v>
      </x:c>
      <x:c r="B57" s="12" t="str">
        <x:v>Urban</x:v>
      </x:c>
      <x:c r="C57" s="20" t="n">
        <x:v>3</x:v>
      </x:c>
      <x:c r="D57" s="12" t="str">
        <x:v>GoodShort</x:v>
      </x:c>
      <x:c r="E57" s="12" t="str">
        <x:v>The Queen's Triumph; Bricklaying for Six Years, My Goddess Proposes to Me; The Queen's Triumph</x:v>
      </x:c>
      <x:c r="F57" s="12" t="str">
        <x:v>보조/세부 변주</x:v>
      </x:c>
    </x:row>
    <x:row r="58">
      <x:c r="A58" s="12" t="n">
        <x:v>57</x:v>
      </x:c>
      <x:c r="B58" s="12" t="str">
        <x:v>Destiny</x:v>
      </x:c>
      <x:c r="C58" s="20" t="n">
        <x:v>3</x:v>
      </x:c>
      <x:c r="D58" s="12" t="str">
        <x:v>GoodShort</x:v>
      </x:c>
      <x:c r="E58" s="12" t="str">
        <x:v>Destined to Love; Mistaken Encounter, Unexpected Love; A Blind Date with my Mr. Meant-to-Be</x:v>
      </x:c>
      <x:c r="F58" s="12" t="str">
        <x:v>보조/세부 변주</x:v>
      </x:c>
    </x:row>
    <x:row r="59">
      <x:c r="A59" s="12" t="n">
        <x:v>58</x:v>
      </x:c>
      <x:c r="B59" s="12" t="str">
        <x:v>Rich Heiress</x:v>
      </x:c>
      <x:c r="C59" s="20" t="n">
        <x:v>3</x:v>
      </x:c>
      <x:c r="D59" s="12" t="str">
        <x:v>GoodShort</x:v>
      </x:c>
      <x:c r="E59" s="12" t="str">
        <x:v>Bricklaying for Six Years, My Goddess Proposes to Me; Bricklaying for Six Years, My Goddess Proposes to Me; Bricklaying for Six Years, My Goddess Proposes to Me</x:v>
      </x:c>
      <x:c r="F59" s="12" t="str">
        <x:v>여성향 결제 엔진 기본축</x:v>
      </x:c>
    </x:row>
    <x:row r="60">
      <x:c r="A60" s="12" t="n">
        <x:v>59</x:v>
      </x:c>
      <x:c r="B60" s="12" t="str">
        <x:v>Mature Romance</x:v>
      </x:c>
      <x:c r="C60" s="20" t="n">
        <x:v>3</x:v>
      </x:c>
      <x:c r="D60" s="12" t="str">
        <x:v>DramaWave</x:v>
      </x:c>
      <x:c r="E60" s="12" t="str">
        <x:v>Love at Fifty; Love at Fifty / Divorce Dreams cluster; Love at Fifty</x:v>
      </x:c>
      <x:c r="F60" s="12" t="str">
        <x:v>보조/세부 변주</x:v>
      </x:c>
    </x:row>
    <x:row r="61">
      <x:c r="A61" s="12" t="n">
        <x:v>60</x:v>
      </x:c>
      <x:c r="B61" s="12" t="str">
        <x:v>campus</x:v>
      </x:c>
      <x:c r="C61" s="20" t="n">
        <x:v>3</x:v>
      </x:c>
      <x:c r="D61" s="12" t="str">
        <x:v>ReelShort</x:v>
      </x:c>
      <x:c r="E61" s="12" t="str">
        <x:v>Taming My Bullies; Your Husband Is Mine; Sisterhood of Lies: Pledge for Revenge</x:v>
      </x:c>
      <x:c r="F61" s="12" t="str">
        <x:v>보조/세부 변주</x:v>
      </x:c>
    </x:row>
    <x:row r="62">
      <x:c r="A62" s="12" t="n">
        <x:v>61</x:v>
      </x:c>
      <x:c r="B62" s="12" t="str">
        <x:v>comeback</x:v>
      </x:c>
      <x:c r="C62" s="20" t="n">
        <x:v>3</x:v>
      </x:c>
      <x:c r="D62" s="12" t="str">
        <x:v>NetShort; ReelShort</x:v>
      </x:c>
      <x:c r="E62" s="12" t="str">
        <x:v>My Secret Lover Is His Brother; Silicon God Strikes Back; Counterattack Life</x:v>
      </x:c>
      <x:c r="F62" s="12" t="str">
        <x:v>보조/세부 변주</x:v>
      </x:c>
    </x:row>
    <x:row r="63">
      <x:c r="A63" s="12" t="n">
        <x:v>62</x:v>
      </x:c>
      <x:c r="B63" s="12" t="str">
        <x:v>Sweet</x:v>
      </x:c>
      <x:c r="C63" s="20" t="n">
        <x:v>3</x:v>
      </x:c>
      <x:c r="D63" s="12" t="str">
        <x:v>GoodShort</x:v>
      </x:c>
      <x:c r="E63" s="12" t="str">
        <x:v>An Unreliable Guide on Dating Your CEO; A Blind Date with my Mr. Meant-to-Be; My Marriage Comes With Secrets</x:v>
      </x:c>
      <x:c r="F63" s="12" t="str">
        <x:v>보조/세부 변주</x:v>
      </x:c>
    </x:row>
    <x:row r="64">
      <x:c r="A64" s="12" t="n">
        <x:v>63</x:v>
      </x:c>
      <x:c r="B64" s="12" t="str">
        <x:v>werewolf</x:v>
      </x:c>
      <x:c r="C64" s="20" t="n">
        <x:v>3</x:v>
      </x:c>
      <x:c r="D64" s="12" t="str">
        <x:v>GoodShort; NetShort</x:v>
      </x:c>
      <x:c r="E64" s="12" t="str">
        <x:v>Too Late, Alphas; My New Daddy is a Five-Star General; The 5-time rejected luna</x:v>
      </x:c>
      <x:c r="F64" s="12" t="str">
        <x:v>보조/세부 변주</x:v>
      </x:c>
    </x:row>
    <x:row r="65">
      <x:c r="A65" s="12" t="n">
        <x:v>64</x:v>
      </x:c>
      <x:c r="B65" s="12" t="str">
        <x:v>underdog rise</x:v>
      </x:c>
      <x:c r="C65" s="20" t="n">
        <x:v>3</x:v>
      </x:c>
      <x:c r="D65" s="12" t="str">
        <x:v>GoodShort; NetShort</x:v>
      </x:c>
      <x:c r="E65" s="12" t="str">
        <x:v>Found A Homeless Genius To Save My Company; Mommy Hold On I Brought Daddy to Save You; The Legend of A Bastard Son</x:v>
      </x:c>
      <x:c r="F65" s="12" t="str">
        <x:v>보조/세부 변주</x:v>
      </x:c>
    </x:row>
    <x:row r="66">
      <x:c r="A66" s="12" t="n">
        <x:v>65</x:v>
      </x:c>
      <x:c r="B66" s="12" t="str">
        <x:v>AI genius</x:v>
      </x:c>
      <x:c r="C66" s="20" t="n">
        <x:v>3</x:v>
      </x:c>
      <x:c r="D66" s="12" t="str">
        <x:v>NetShort</x:v>
      </x:c>
      <x:c r="E66" s="12" t="str">
        <x:v>The 5-time rejected luna; Divorced &amp; Unmasked: The AI Queen Rules; The Discarded Ace</x:v>
      </x:c>
      <x:c r="F66" s="12" t="str">
        <x:v>AIGC/남성향 확장 후보</x:v>
      </x:c>
    </x:row>
    <x:row r="67">
      <x:c r="A67" s="12" t="n">
        <x:v>66</x:v>
      </x:c>
      <x:c r="B67" s="12" t="str">
        <x:v>whirlwind marriage. ③ 도박 역습극</x:v>
      </x:c>
      <x:c r="C67" s="20" t="n">
        <x:v>3</x:v>
      </x:c>
      <x:c r="D67" s="12" t="str">
        <x:v>NetShort</x:v>
      </x:c>
      <x:c r="E67" s="12" t="str">
        <x:v>The 5-time rejected luna; Divorced &amp; Unmasked: The AI Queen Rules; The Discarded Ace</x:v>
      </x:c>
      <x:c r="F67" s="12" t="str">
        <x:v>여성향 결제 엔진 기본축</x:v>
      </x:c>
    </x:row>
    <x:row r="68">
      <x:c r="A68" s="12" t="n">
        <x:v>67</x:v>
      </x:c>
      <x:c r="B68" s="12" t="str">
        <x:v>Asgard</x:v>
      </x:c>
      <x:c r="C68" s="20" t="n">
        <x:v>3</x:v>
      </x:c>
      <x:c r="D68" s="12" t="str">
        <x:v>NetShort</x:v>
      </x:c>
      <x:c r="E68" s="12" t="str">
        <x:v>After My Slumber, Gods Repent; Divorced &amp; Unmasked: The AI Queen Rules; The 5-time rejected luna</x:v>
      </x:c>
      <x:c r="F68" s="12" t="str">
        <x:v>보조/세부 변주</x:v>
      </x:c>
    </x:row>
    <x:row r="69">
      <x:c r="A69" s="12" t="n">
        <x:v>68</x:v>
      </x:c>
      <x:c r="B69" s="12" t="str">
        <x:v>sibling regret</x:v>
      </x:c>
      <x:c r="C69" s="20" t="n">
        <x:v>3</x:v>
      </x:c>
      <x:c r="D69" s="12" t="str">
        <x:v>NetShort</x:v>
      </x:c>
      <x:c r="E69" s="12" t="str">
        <x:v>After My Slumber, Gods Repent; Divorced &amp; Unmasked: The AI Queen Rules; The 5-time rejected luna</x:v>
      </x:c>
      <x:c r="F69" s="12" t="str">
        <x:v>여성향 결제 엔진 기본축</x:v>
      </x:c>
    </x:row>
    <x:row r="70">
      <x:c r="A70" s="12" t="n">
        <x:v>69</x:v>
      </x:c>
      <x:c r="B70" s="12" t="str">
        <x:v>sacrifice. ② AI 천재 재기물. ③ 늑대인간 후회극</x:v>
      </x:c>
      <x:c r="C70" s="20" t="n">
        <x:v>3</x:v>
      </x:c>
      <x:c r="D70" s="12" t="str">
        <x:v>NetShort</x:v>
      </x:c>
      <x:c r="E70" s="12" t="str">
        <x:v>After My Slumber, Gods Repent; Divorced &amp; Unmasked: The AI Queen Rules; The 5-time rejected luna</x:v>
      </x:c>
      <x:c r="F70" s="12" t="str">
        <x:v>AIGC/남성향 확장 후보</x:v>
      </x:c>
    </x:row>
    <x:row r="71">
      <x:c r="A71" s="12" t="n">
        <x:v>70</x:v>
      </x:c>
      <x:c r="B71" s="12" t="str">
        <x:v>Multiple Identity</x:v>
      </x:c>
      <x:c r="C71" s="20" t="n">
        <x:v>2</x:v>
      </x:c>
      <x:c r="D71" s="12" t="str">
        <x:v>NetShort</x:v>
      </x:c>
      <x:c r="E71" s="12" t="str">
        <x:v>Mommy's Billionaire Blessing; Rise From the Ashes</x:v>
      </x:c>
      <x:c r="F71" s="12" t="str">
        <x:v>보조/세부 변주</x:v>
      </x:c>
    </x:row>
    <x:row r="72">
      <x:c r="A72" s="12" t="n">
        <x:v>71</x:v>
      </x:c>
      <x:c r="B72" s="12" t="str">
        <x:v>Blind Date</x:v>
      </x:c>
      <x:c r="C72" s="20" t="n">
        <x:v>2</x:v>
      </x:c>
      <x:c r="D72" s="12" t="str">
        <x:v>GoodShort; NetShort</x:v>
      </x:c>
      <x:c r="E72" s="12" t="str">
        <x:v>Mommy's Billionaire Blessing; An Unreliable Guide on Dating Your CEO</x:v>
      </x:c>
      <x:c r="F72" s="12" t="str">
        <x:v>보조/세부 변주</x:v>
      </x:c>
    </x:row>
    <x:row r="73">
      <x:c r="A73" s="12" t="n">
        <x:v>72</x:v>
      </x:c>
      <x:c r="B73" s="12" t="str">
        <x:v>Men Coming-of-Age</x:v>
      </x:c>
      <x:c r="C73" s="20" t="n">
        <x:v>2</x:v>
      </x:c>
      <x:c r="D73" s="12" t="str">
        <x:v>NetShort</x:v>
      </x:c>
      <x:c r="E73" s="12" t="str">
        <x:v>Until I Forget You; My Family Framed Me. Time For Payback!</x:v>
      </x:c>
      <x:c r="F73" s="12" t="str">
        <x:v>보조/세부 변주</x:v>
      </x:c>
    </x:row>
    <x:row r="74">
      <x:c r="A74" s="12" t="n">
        <x:v>73</x:v>
      </x:c>
      <x:c r="B74" s="12" t="str">
        <x:v>Age Gap</x:v>
      </x:c>
      <x:c r="C74" s="20" t="n">
        <x:v>2</x:v>
      </x:c>
      <x:c r="D74" s="12" t="str">
        <x:v>NetShort; ReelShort</x:v>
      </x:c>
      <x:c r="E74" s="12" t="str">
        <x:v>Oops, My Toyboy is a Heir; The Hidden Billionaire in First Class</x:v>
      </x:c>
      <x:c r="F74" s="12" t="str">
        <x:v>보조/세부 변주</x:v>
      </x:c>
    </x:row>
    <x:row r="75">
      <x:c r="A75" s="12" t="n">
        <x:v>74</x:v>
      </x:c>
      <x:c r="B75" s="12" t="str">
        <x:v>Sweet Romance</x:v>
      </x:c>
      <x:c r="C75" s="20" t="n">
        <x:v>2</x:v>
      </x:c>
      <x:c r="D75" s="12" t="str">
        <x:v>NetShort</x:v>
      </x:c>
      <x:c r="E75" s="12" t="str">
        <x:v>Oops, My Toyboy is a Heir; My Brother-in-Law's Secret Obsession</x:v>
      </x:c>
      <x:c r="F75" s="12" t="str">
        <x:v>보조/세부 변주</x:v>
      </x:c>
    </x:row>
    <x:row r="76">
      <x:c r="A76" s="12" t="n">
        <x:v>75</x:v>
      </x:c>
      <x:c r="B76" s="12" t="str">
        <x:v>Modern Romance</x:v>
      </x:c>
      <x:c r="C76" s="20" t="n">
        <x:v>2</x:v>
      </x:c>
      <x:c r="D76" s="12" t="str">
        <x:v>NetShort</x:v>
      </x:c>
      <x:c r="E76" s="12" t="str">
        <x:v>CEO's No-No Clause; Too Late to Come Back (Dubbed)</x:v>
      </x:c>
      <x:c r="F76" s="12" t="str">
        <x:v>보조/세부 변주</x:v>
      </x:c>
    </x:row>
    <x:row r="77">
      <x:c r="A77" s="12" t="n">
        <x:v>76</x:v>
      </x:c>
      <x:c r="B77" s="12" t="str">
        <x:v>Stolen Identity</x:v>
      </x:c>
      <x:c r="C77" s="20" t="n">
        <x:v>2</x:v>
      </x:c>
      <x:c r="D77" s="12" t="str">
        <x:v>DramaWave; NetShort</x:v>
      </x:c>
      <x:c r="E77" s="12" t="str">
        <x:v>CEO's No-No Clause; Delta Force Queen Returns</x:v>
      </x:c>
      <x:c r="F77" s="12" t="str">
        <x:v>보조/세부 변주</x:v>
      </x:c>
    </x:row>
    <x:row r="78">
      <x:c r="A78" s="12" t="n">
        <x:v>77</x:v>
      </x:c>
      <x:c r="B78" s="12" t="str">
        <x:v>Baby</x:v>
      </x:c>
      <x:c r="C78" s="20" t="n">
        <x:v>2</x:v>
      </x:c>
      <x:c r="D78" s="12" t="str">
        <x:v>NetShort; ReelShort</x:v>
      </x:c>
      <x:c r="E78" s="12" t="str">
        <x:v>How to Tame a Tiny Tycoon; Baby, Just Say Yes</x:v>
      </x:c>
      <x:c r="F78" s="12" t="str">
        <x:v>보조/세부 변주</x:v>
      </x:c>
    </x:row>
    <x:row r="79">
      <x:c r="A79" s="12" t="n">
        <x:v>78</x:v>
      </x:c>
      <x:c r="B79" s="12" t="str">
        <x:v>Eastern Fantasy</x:v>
      </x:c>
      <x:c r="C79" s="20" t="n">
        <x:v>2</x:v>
      </x:c>
      <x:c r="D79" s="12" t="str">
        <x:v>NetShort</x:v>
      </x:c>
      <x:c r="E79" s="12" t="str">
        <x:v>Crippled? No, I’m the Grandmaster!; Lv.1 Legend? Sweet</x:v>
      </x:c>
      <x:c r="F79" s="12" t="str">
        <x:v>AIGC/남성향 확장 후보</x:v>
      </x:c>
    </x:row>
    <x:row r="80">
      <x:c r="A80" s="12" t="n">
        <x:v>79</x:v>
      </x:c>
      <x:c r="B80" s="12" t="str">
        <x:v>Rebirth</x:v>
      </x:c>
      <x:c r="C80" s="20" t="n">
        <x:v>2</x:v>
      </x:c>
      <x:c r="D80" s="12" t="str">
        <x:v>NetShort; ReelShort</x:v>
      </x:c>
      <x:c r="E80" s="12" t="str">
        <x:v>Behave Yourself, Princess! (Dubbed); I’m Done Being Your Simp</x:v>
      </x:c>
      <x:c r="F80" s="12" t="str">
        <x:v>보조/세부 변주</x:v>
      </x:c>
    </x:row>
    <x:row r="81">
      <x:c r="A81" s="12" t="n">
        <x:v>80</x:v>
      </x:c>
      <x:c r="B81" s="12" t="str">
        <x:v>Wish-Fulfillment</x:v>
      </x:c>
      <x:c r="C81" s="20" t="n">
        <x:v>2</x:v>
      </x:c>
      <x:c r="D81" s="12" t="str">
        <x:v>NetShort</x:v>
      </x:c>
      <x:c r="E81" s="12" t="str">
        <x:v>Bye, Husband! My Protection’s Over; From Victim to Mrs. CEO</x:v>
      </x:c>
      <x:c r="F81" s="12" t="str">
        <x:v>보조/세부 변주</x:v>
      </x:c>
    </x:row>
    <x:row r="82" ht="42" customHeight="1">
      <x:c r="A82" s="63" t="n">
        <x:v>82</x:v>
      </x:c>
      <x:c r="B82" s="63" t="str">
        <x:v>2026-05-19 NetShort/System-AIGC candidate cluster</x:v>
      </x:c>
      <x:c r="C82" s="63" t="n">
        <x:v>18</x:v>
      </x:c>
      <x:c r="D82" s="63" t="str">
        <x:v>NetShort</x:v>
      </x:c>
      <x:c r="E82" s="63" t="str">
        <x:v>One Move God Mode; Rusty Ring To Royal Crown; F Rank? I Got a God-Tier System!; Go Ahead, Ghouls, Hit Me; Trash Dragon Ate the World!</x:v>
      </x:c>
      <x:c r="F82" s="63" t="str">
        <x:v>새로 추가한 후보군은 Direct AI와 Candidate를 분리한다. 장르가 판타지라고 무조건 AIGC로 세지 않는다.</x:v>
      </x:c>
    </x:row>
    <x:row r="83" ht="42" customHeight="1">
      <x:c r="A83" s="12" t="n">
        <x:v>83</x:v>
      </x:c>
      <x:c r="B83" s="12" t="str">
        <x:v>Rejected Luna / Alpha Queen / Werewolf regret</x:v>
      </x:c>
      <x:c r="C83" s="12" t="n">
        <x:v>4</x:v>
      </x:c>
      <x:c r="D83" s="12" t="str">
        <x:v>NetShort; ReelShort</x:v>
      </x:c>
      <x:c r="E83" s="12" t="str">
        <x:v>The 5-time rejected luna; Rejected Luna Is the Alpha Queen; Hidden Wolf King：A Hybrid Loser</x:v>
      </x:c>
      <x:c r="F83" s="12" t="str">
        <x:v>강한 werewolf 트렌드이나 제작 AIGC 근거 없음. AIGC tracker 제외.</x:v>
      </x:c>
    </x:row>
    <x:row r="84" ht="42" customHeight="1">
      <x:c r="A84" s="12" t="n">
        <x:v>84</x:v>
      </x:c>
      <x:c r="B84" s="12" t="str">
        <x:v>All-too-late / late repentance / losing me</x:v>
      </x:c>
      <x:c r="C84" s="12" t="n">
        <x:v>5</x:v>
      </x:c>
      <x:c r="D84" s="12" t="str">
        <x:v>NetShort</x:v>
      </x:c>
      <x:c r="E84" s="12" t="str">
        <x:v>Your Late Repentance Means Nothing; Cry For Losing Me; The Billionaire Dad I Never Knew; After My Slumber, Gods Repent</x:v>
      </x:c>
      <x:c r="F84" s="12" t="str">
        <x:v>후회가 늦었다는 결제 엔진. 감정/복수형 실사 계열과 판타지 가족후회를 분리.</x:v>
      </x:c>
    </x:row>
    <x:row r="85" ht="42" customHeight="1">
      <x:c r="A85" s="12" t="n">
        <x:v>85</x:v>
      </x:c>
      <x:c r="B85" s="12" t="str">
        <x:v>Dragon / Zeus / divine daughter / royal crown</x:v>
      </x:c>
      <x:c r="C85" s="12" t="n">
        <x:v>5</x:v>
      </x:c>
      <x:c r="D85" s="12" t="str">
        <x:v>NetShort</x:v>
      </x:c>
      <x:c r="E85" s="12" t="str">
        <x:v>The Daughter Who Commands Dragon; Watch Out! She's the Daughter of Zeus; Rusty Ring To Royal Crown; Trash Dragon Ate the World!</x:v>
      </x:c>
      <x:c r="F85" s="12" t="str">
        <x:v>여성향 신성/왕권/용 권능 판타지 확장. AIGC 후보로만 취급.</x:v>
      </x:c>
    </x:row>
    <x:row r="86" ht="42" customHeight="1">
      <x:c r="A86" s="12" t="n">
        <x:v>86</x:v>
      </x:c>
      <x:c r="B86" s="12" t="str">
        <x:v>Captive / beast-world romance</x:v>
      </x:c>
      <x:c r="C86" s="12" t="n">
        <x:v>3</x:v>
      </x:c>
      <x:c r="D86" s="12" t="str">
        <x:v>NetShort</x:v>
      </x:c>
      <x:c r="E86" s="12" t="str">
        <x:v>The Lion's Captive; The ONLY Girl In A World Of Beasts; Wait, I Reborn as a Pet Lizard?</x:v>
      </x:c>
      <x:c r="F86" s="12" t="str">
        <x:v>야수·이세계·강제혼 로맨스 확장. 제작방식은 별도 검증.</x:v>
      </x:c>
    </x:row>
    <x:row r="87" ht="42" customHeight="1">
      <x:c r="A87" s="12" t="n">
        <x:v>87</x:v>
      </x:c>
      <x:c r="B87" s="12" t="str">
        <x:v>Family ethics / hostage / mistress disguise</x:v>
      </x:c>
      <x:c r="C87" s="12" t="n">
        <x:v>4</x:v>
      </x:c>
      <x:c r="D87" s="12" t="str">
        <x:v>NetShort</x:v>
      </x:c>
      <x:c r="E87" s="12" t="str">
        <x:v>Dog Suit Affair; Her Silence Held Her Hostage; Secrets Under the Skirt; Hurt Me? I'll Seal Your Doom</x:v>
      </x:c>
      <x:c r="F87" s="12" t="str">
        <x:v>비AIGC 최신 막장/스릴러/복수 축. 광고 소재 훅이 강함.</x:v>
      </x:c>
    </x:row>
    <x:row r="88" ht="42" customHeight="1">
      <x:c r="A88" s="12" t="n">
        <x:v>88</x:v>
      </x:c>
      <x:c r="B88" s="12" t="str">
        <x:v>Mafia / court / historical power romance</x:v>
      </x:c>
      <x:c r="C88" s="12" t="n">
        <x:v>3</x:v>
      </x:c>
      <x:c r="D88" s="12" t="str">
        <x:v>NetShort</x:v>
      </x:c>
      <x:c r="E88" s="12" t="str">
        <x:v>Mafia heiress's forbidden obsession; The Eunuch I Married; Mountain Saint, Underworld King</x:v>
      </x:c>
      <x:c r="F88" s="12" t="str">
        <x:v>권력 상속·금지된 사랑·궁정 복수로 확장.</x:v>
      </x:c>
    </x:row>
  </x:sheetData>
  <x:conditionalFormatting sqref="C2:C81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{12670267-21A0-E6FA-A3AD-EB5049A0BA55}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75ab953755b4e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670267-21A0-E6FA-A3AD-EB5049A0BA55}">
            <x14:dataBar gradient="1">
              <x14:cfvo type="min"/>
              <x14:cfvo type="max"/>
              <x14:fillColor rgb="64748B"/>
            </x14:dataBar>
          </x14:cfRule>
          <xm:sqref>C2:C81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21" hidden="0" customWidth="1"/>
    <x:col min="3" max="3" width="31.219999313354492" hidden="0" customWidth="1"/>
    <x:col min="4" max="4" width="14.270000457763672" hidden="0" customWidth="1"/>
    <x:col min="5" max="5" width="26.649999618530273" hidden="0" customWidth="1"/>
    <x:col min="6" max="6" width="38" hidden="0" customWidth="1"/>
    <x:col min="7" max="7" width="36.20000076293945" hidden="0" customWidth="1"/>
    <x:col min="8" max="8" width="50" hidden="0" customWidth="1"/>
  </x:cols>
  <x:sheetData>
    <x:row r="1">
      <x:c r="A1" s="6" t="str">
        <x:v>source_id</x:v>
      </x:c>
      <x:c r="B1" s="6" t="str">
        <x:v>domain</x:v>
      </x:c>
      <x:c r="C1" s="6" t="str">
        <x:v>source_type</x:v>
      </x:c>
      <x:c r="D1" s="6" t="str">
        <x:v>reliability_tier</x:v>
      </x:c>
      <x:c r="E1" s="6" t="str">
        <x:v>used_in_rows</x:v>
      </x:c>
      <x:c r="F1" s="6" t="str">
        <x:v>example_titles</x:v>
      </x:c>
      <x:c r="G1" s="6" t="str">
        <x:v>origin_mix</x:v>
      </x:c>
      <x:c r="H1" s="6" t="str">
        <x:v>url</x:v>
      </x:c>
    </x:row>
    <x:row r="2">
      <x:c r="A2" s="12" t="str">
        <x:v>SRC001</x:v>
      </x:c>
      <x:c r="B2" s="12" t="str">
        <x:v>ai.mydramawave.com</x:v>
      </x:c>
      <x:c r="C2" s="12" t="str">
        <x:v>Official platform</x:v>
      </x:c>
      <x:c r="D2" s="12" t="str">
        <x:v>A</x:v>
      </x:c>
      <x:c r="E2" s="20" t="n">
        <x:v>2</x:v>
      </x:c>
      <x:c r="F2" s="12" t="str">
        <x:v>Attribute Seizer: Undead Overlord; The Mighty Lady Fixes the Manor</x:v>
      </x:c>
      <x:c r="G2" s="12" t="str">
        <x:v>Supplement_DOCX</x:v>
      </x:c>
      <x:c r="H2" s="12" t="str">
        <x:v>https://ai.mydramawave.com/</x:v>
      </x:c>
    </x:row>
    <x:row r="3">
      <x:c r="A3" s="12" t="str">
        <x:v>SRC002</x:v>
      </x:c>
      <x:c r="B3" s="12" t="str">
        <x:v>ai.mydramawave.com</x:v>
      </x:c>
      <x:c r="C3" s="12" t="str">
        <x:v>Official platform</x:v>
      </x:c>
      <x:c r="D3" s="12" t="str">
        <x:v>A</x:v>
      </x:c>
      <x:c r="E3" s="20" t="n">
        <x:v>2</x:v>
      </x:c>
      <x:c r="F3" s="12" t="str">
        <x:v>Wrong Sperm, Right Love II; The Mighty Lady Fixes the Manor</x:v>
      </x:c>
      <x:c r="G3" s="12" t="str">
        <x:v>Supplement_DOCX</x:v>
      </x:c>
      <x:c r="H3" s="12" t="str">
        <x:v>https://ai.mydramawave.com/p/activity/?language=en</x:v>
      </x:c>
    </x:row>
    <x:row r="4">
      <x:c r="A4" s="12" t="str">
        <x:v>SRC003</x:v>
      </x:c>
      <x:c r="B4" s="12" t="str">
        <x:v>app.reelshort.com</x:v>
      </x:c>
      <x:c r="C4" s="12" t="str">
        <x:v>Official platform</x:v>
      </x:c>
      <x:c r="D4" s="12" t="str">
        <x:v>A</x:v>
      </x:c>
      <x:c r="E4" s="20" t="n">
        <x:v>1</x:v>
      </x:c>
      <x:c r="F4" s="12" t="str">
        <x:v>Taming My Bullies</x:v>
      </x:c>
      <x:c r="G4" s="12" t="str">
        <x:v>Supplement_DOCX</x:v>
      </x:c>
      <x:c r="H4" s="12" t="str">
        <x:v>https://app.reelshort.com/app-video-share/68dadaea23e33857e70a78f9</x:v>
      </x:c>
    </x:row>
    <x:row r="5">
      <x:c r="A5" s="12" t="str">
        <x:v>SRC004</x:v>
      </x:c>
      <x:c r="B5" s="12" t="str">
        <x:v>apps.apple.com</x:v>
      </x:c>
      <x:c r="C5" s="12" t="str">
        <x:v>App store/platform metadata</x:v>
      </x:c>
      <x:c r="D5" s="12" t="str">
        <x:v>B</x:v>
      </x:c>
      <x:c r="E5" s="20" t="n">
        <x:v>4</x:v>
      </x:c>
      <x:c r="F5" s="12" t="str">
        <x:v>Never Divorce a Secret Billionaire Heiress; Baby, Just Say Yes; Don’t Miss Me When I’m Gone; Move Aside! I’m the Final Boss</x:v>
      </x:c>
      <x:c r="G5" s="12" t="str">
        <x:v>Base_XLSX</x:v>
      </x:c>
      <x:c r="H5" s="12" t="str">
        <x:v>https://apps.apple.com/us/app/reelshort-stream-dramas-tv/id1632840184</x:v>
      </x:c>
    </x:row>
    <x:row r="6">
      <x:c r="A6" s="12" t="str">
        <x:v>SRC005</x:v>
      </x:c>
      <x:c r="B6" s="12" t="str">
        <x:v>apptopia.com</x:v>
      </x:c>
      <x:c r="C6" s="12" t="str">
        <x:v>Secondary guide/fandom/SEO</x:v>
      </x:c>
      <x:c r="D6" s="12" t="str">
        <x:v>D</x:v>
      </x:c>
      <x:c r="E6" s="20" t="n">
        <x:v>2</x:v>
      </x:c>
      <x:c r="F6" s="12" t="str">
        <x:v>DramaWave app collection expansion; DramaWave AI launch/catalog phase</x:v>
      </x:c>
      <x:c r="G6" s="12" t="str">
        <x:v>Base_XLSX</x:v>
      </x:c>
      <x:c r="H6" s="12" t="str">
        <x:v>https://apptopia.com/ios/app/6670430706/about</x:v>
      </x:c>
    </x:row>
    <x:row r="7">
      <x:c r="A7" s="12" t="str">
        <x:v>SRC006</x:v>
      </x:c>
      <x:c r="B7" s="12" t="str">
        <x:v>businessinsider.com</x:v>
      </x:c>
      <x:c r="C7" s="12" t="str">
        <x:v>Industry/media report</x:v>
      </x:c>
      <x:c r="D7" s="12" t="str">
        <x:v>B</x:v>
      </x:c>
      <x:c r="E7" s="20" t="n">
        <x:v>1</x:v>
      </x:c>
      <x:c r="F7" s="12" t="str">
        <x:v>Summer Honeymoon with My Secret Billionaire</x:v>
      </x:c>
      <x:c r="G7" s="12" t="str">
        <x:v>Supplement_DOCX</x:v>
      </x:c>
      <x:c r="H7" s="12" t="str">
        <x:v>https://www.businessinsider.com/dramabox-strategy-to-dominate-us-micro-dramas-creators-disney-2025-9</x:v>
      </x:c>
    </x:row>
    <x:row r="8">
      <x:c r="A8" s="12" t="str">
        <x:v>SRC007</x:v>
      </x:c>
      <x:c r="B8" s="12" t="str">
        <x:v>dailymotion.com</x:v>
      </x:c>
      <x:c r="C8" s="12" t="str">
        <x:v>Secondary guide/fandom/SEO</x:v>
      </x:c>
      <x:c r="D8" s="12" t="str">
        <x:v>D</x:v>
      </x:c>
      <x:c r="E8" s="20" t="n">
        <x:v>1</x:v>
      </x:c>
      <x:c r="F8" s="12" t="str">
        <x:v>Titan Era: Ten Divine Beasts Rise with Me</x:v>
      </x:c>
      <x:c r="G8" s="12" t="str">
        <x:v>Base_XLSX</x:v>
      </x:c>
      <x:c r="H8" s="12" t="str">
        <x:v>https://www.dailymotion.com/video/x9yhphs</x:v>
      </x:c>
    </x:row>
    <x:row r="9">
      <x:c r="A9" s="12" t="str">
        <x:v>SRC008</x:v>
      </x:c>
      <x:c r="B9" s="12" t="str">
        <x:v>deadline.com</x:v>
      </x:c>
      <x:c r="C9" s="12" t="str">
        <x:v>Secondary guide/fandom/SEO</x:v>
      </x:c>
      <x:c r="D9" s="12" t="str">
        <x:v>D</x:v>
      </x:c>
      <x:c r="E9" s="20" t="n">
        <x:v>1</x:v>
      </x:c>
      <x:c r="F9" s="12" t="str">
        <x:v>Fated To My Forbidden Alpha</x:v>
      </x:c>
      <x:c r="G9" s="12" t="str">
        <x:v>Base_XLSX</x:v>
      </x:c>
      <x:c r="H9" s="12" t="str">
        <x:v>https://deadline.com/2026/05/reelshort-microdramas-peacock-licensing-fated-forbidden-alpha-call-boy-paris-1236507297/</x:v>
      </x:c>
    </x:row>
    <x:row r="10">
      <x:c r="A10" s="12" t="str">
        <x:v>SRC009</x:v>
      </x:c>
      <x:c r="B10" s="12" t="str">
        <x:v>dramabox.com</x:v>
      </x:c>
      <x:c r="C10" s="12" t="str">
        <x:v>Official platform</x:v>
      </x:c>
      <x:c r="D10" s="12" t="str">
        <x:v>A</x:v>
      </x:c>
      <x:c r="E10" s="20" t="n">
        <x:v>2</x:v>
      </x:c>
      <x:c r="F10" s="12" t="str">
        <x:v>Reborn To Love Alpha King; Honey, Guess Who’s the REAL BOSS</x:v>
      </x:c>
      <x:c r="G10" s="12" t="str">
        <x:v>Supplement_DOCX</x:v>
      </x:c>
      <x:c r="H10" s="12" t="str">
        <x:v>https://www.dramabox.com/</x:v>
      </x:c>
    </x:row>
    <x:row r="11">
      <x:c r="A11" s="12" t="str">
        <x:v>SRC010</x:v>
      </x:c>
      <x:c r="B11" s="12" t="str">
        <x:v>dramabox.com</x:v>
      </x:c>
      <x:c r="C11" s="12" t="str">
        <x:v>Official platform</x:v>
      </x:c>
      <x:c r="D11" s="12" t="str">
        <x:v>A</x:v>
      </x:c>
      <x:c r="E11" s="20" t="n">
        <x:v>3</x:v>
      </x:c>
      <x:c r="F11" s="12" t="str">
        <x:v>Three Chances, Then Goodbye; Three Chances, I’m Gone Forever</x:v>
      </x:c>
      <x:c r="G11" s="12" t="str">
        <x:v>Supplement_DOCX</x:v>
      </x:c>
      <x:c r="H11" s="12" t="str">
        <x:v>https://www.dramabox.com/drama/41000113452/Three-Chances-Then-Goodbye</x:v>
      </x:c>
    </x:row>
    <x:row r="12">
      <x:c r="A12" s="12" t="str">
        <x:v>SRC011</x:v>
      </x:c>
      <x:c r="B12" s="12" t="str">
        <x:v>dramabox.com</x:v>
      </x:c>
      <x:c r="C12" s="12" t="str">
        <x:v>Official platform</x:v>
      </x:c>
      <x:c r="D12" s="12" t="str">
        <x:v>A</x:v>
      </x:c>
      <x:c r="E12" s="20" t="n">
        <x:v>2</x:v>
      </x:c>
      <x:c r="F12" s="12" t="str">
        <x:v>Three Chances, I’m Gone Forever</x:v>
      </x:c>
      <x:c r="G12" s="12" t="str">
        <x:v>Supplement_DOCX</x:v>
      </x:c>
      <x:c r="H12" s="12" t="str">
        <x:v>https://www.dramabox.com/drama/41000118844/Three-Chances-Im-Gone-Forever</x:v>
      </x:c>
    </x:row>
    <x:row r="13">
      <x:c r="A13" s="12" t="str">
        <x:v>SRC012</x:v>
      </x:c>
      <x:c r="B13" s="12" t="str">
        <x:v>dramabox.com</x:v>
      </x:c>
      <x:c r="C13" s="12" t="str">
        <x:v>Official platform</x:v>
      </x:c>
      <x:c r="D13" s="12" t="str">
        <x:v>A</x:v>
      </x:c>
      <x:c r="E13" s="20" t="n">
        <x:v>2</x:v>
      </x:c>
      <x:c r="F13" s="12" t="str">
        <x:v>His Love Was A Lie</x:v>
      </x:c>
      <x:c r="G13" s="12" t="str">
        <x:v>Base+Supplement_DOCX; Supplement_DOCX</x:v>
      </x:c>
      <x:c r="H13" s="12" t="str">
        <x:v>https://www.dramabox.com/drama/42000000606/His-Love-Was-A-Lie</x:v>
      </x:c>
    </x:row>
    <x:row r="14">
      <x:c r="A14" s="12" t="str">
        <x:v>SRC013</x:v>
      </x:c>
      <x:c r="B14" s="12" t="str">
        <x:v>dramabox.com</x:v>
      </x:c>
      <x:c r="C14" s="12" t="str">
        <x:v>Official platform</x:v>
      </x:c>
      <x:c r="D14" s="12" t="str">
        <x:v>A</x:v>
      </x:c>
      <x:c r="E14" s="20" t="n">
        <x:v>1</x:v>
      </x:c>
      <x:c r="F14" s="12" t="str">
        <x:v>I Went to the Mafia Boss for a Baby</x:v>
      </x:c>
      <x:c r="G14" s="12" t="str">
        <x:v>Supplement_DOCX</x:v>
      </x:c>
      <x:c r="H14" s="12" t="str">
        <x:v>https://www.dramabox.com/drama/42000007197/I-Went-to-the-Mafia-Boss-for-a-Baby</x:v>
      </x:c>
    </x:row>
    <x:row r="15">
      <x:c r="A15" s="12" t="str">
        <x:v>SRC014</x:v>
      </x:c>
      <x:c r="B15" s="12" t="str">
        <x:v>dramabox.com</x:v>
      </x:c>
      <x:c r="C15" s="12" t="str">
        <x:v>Official platform</x:v>
      </x:c>
      <x:c r="D15" s="12" t="str">
        <x:v>A</x:v>
      </x:c>
      <x:c r="E15" s="20" t="n">
        <x:v>2</x:v>
      </x:c>
      <x:c r="F15" s="12" t="str">
        <x:v>Faking It with the Hockey Captain</x:v>
      </x:c>
      <x:c r="G15" s="12" t="str">
        <x:v>Base+Supplement_DOCX; Supplement_DOCX</x:v>
      </x:c>
      <x:c r="H15" s="12" t="str">
        <x:v>https://www.dramabox.com/drama/42000010167/Faking-It-with-the-Hockey-Captain</x:v>
      </x:c>
    </x:row>
    <x:row r="16">
      <x:c r="A16" s="12" t="str">
        <x:v>SRC015</x:v>
      </x:c>
      <x:c r="B16" s="12" t="str">
        <x:v>dramabox.com</x:v>
      </x:c>
      <x:c r="C16" s="12" t="str">
        <x:v>Official platform</x:v>
      </x:c>
      <x:c r="D16" s="12" t="str">
        <x:v>A</x:v>
      </x:c>
      <x:c r="E16" s="20" t="n">
        <x:v>1</x:v>
      </x:c>
      <x:c r="F16" s="12" t="str">
        <x:v>Summer Honeymoon with My Secret Billionaire</x:v>
      </x:c>
      <x:c r="G16" s="12" t="str">
        <x:v>Supplement_DOCX</x:v>
      </x:c>
      <x:c r="H16" s="12" t="str">
        <x:v>https://www.dramabox.com/ko/video/41000119524_Summer-Honeymoon-with-My-Secret-Billionaire/597963604_Episode-1</x:v>
      </x:c>
    </x:row>
    <x:row r="17">
      <x:c r="A17" s="12" t="str">
        <x:v>SRC016</x:v>
      </x:c>
      <x:c r="B17" s="12" t="str">
        <x:v>dramabox.com</x:v>
      </x:c>
      <x:c r="C17" s="12" t="str">
        <x:v>Official platform</x:v>
      </x:c>
      <x:c r="D17" s="12" t="str">
        <x:v>A</x:v>
      </x:c>
      <x:c r="E17" s="20" t="n">
        <x:v>1</x:v>
      </x:c>
      <x:c r="F17" s="12" t="str">
        <x:v>Summer Honeymoon with My Secret Billionaire</x:v>
      </x:c>
      <x:c r="G17" s="12" t="str">
        <x:v>Supplement_DOCX</x:v>
      </x:c>
      <x:c r="H17" s="12" t="str">
        <x:v>https://www.dramabox.com/name/12284-Shayne-Davis</x:v>
      </x:c>
    </x:row>
    <x:row r="18">
      <x:c r="A18" s="12" t="str">
        <x:v>SRC017</x:v>
      </x:c>
      <x:c r="B18" s="12" t="str">
        <x:v>dramaboxdb.com</x:v>
      </x:c>
      <x:c r="C18" s="12" t="str">
        <x:v>Secondary guide/fandom/SEO</x:v>
      </x:c>
      <x:c r="D18" s="12" t="str">
        <x:v>D</x:v>
      </x:c>
      <x:c r="E18" s="20" t="n">
        <x:v>27</x:v>
      </x:c>
      <x:c r="F18" s="12" t="str">
        <x:v>Fake Dating My Rich Nemesis; Bound by a Family Alliance / I Wish It Were You; The Day My Stepbrother Knows My Dirty Secret; The Return of the Amnesiac Heiress</x:v>
      </x:c>
      <x:c r="G18" s="12" t="str">
        <x:v>Base+Supplement_DOCX; Base_XLSX</x:v>
      </x:c>
      <x:c r="H18" s="12" t="str">
        <x:v>https://www.dramaboxdb.com/</x:v>
      </x:c>
    </x:row>
    <x:row r="19">
      <x:c r="A19" s="12" t="str">
        <x:v>SRC018</x:v>
      </x:c>
      <x:c r="B19" s="12" t="str">
        <x:v>dramaboxdb.com</x:v>
      </x:c>
      <x:c r="C19" s="12" t="str">
        <x:v>Secondary guide/fandom/SEO</x:v>
      </x:c>
      <x:c r="D19" s="12" t="str">
        <x:v>D</x:v>
      </x:c>
      <x:c r="E19" s="20" t="n">
        <x:v>1</x:v>
      </x:c>
      <x:c r="F19" s="12" t="str">
        <x:v>Divorced at the Wedding Day</x:v>
      </x:c>
      <x:c r="G19" s="12" t="str">
        <x:v>Base_XLSX</x:v>
      </x:c>
      <x:c r="H19" s="12" t="str">
        <x:v>https://www.dramaboxdb.com/content/critique/4786_divorced-at-the-wedding-day-full-episode</x:v>
      </x:c>
    </x:row>
    <x:row r="20">
      <x:c r="A20" s="12" t="str">
        <x:v>SRC019</x:v>
      </x:c>
      <x:c r="B20" s="12" t="str">
        <x:v>dramaboxdb.com</x:v>
      </x:c>
      <x:c r="C20" s="12" t="str">
        <x:v>Secondary guide/fandom/SEO</x:v>
      </x:c>
      <x:c r="D20" s="12" t="str">
        <x:v>D</x:v>
      </x:c>
      <x:c r="E20" s="20" t="n">
        <x:v>1</x:v>
      </x:c>
      <x:c r="F20" s="12" t="str">
        <x:v>Unwanted True Mate</x:v>
      </x:c>
      <x:c r="G20" s="12" t="str">
        <x:v>Base_XLSX</x:v>
      </x:c>
      <x:c r="H20" s="12" t="str">
        <x:v>https://www.dramaboxdb.com/content/critique/4815_unwanted-true-mate-actors</x:v>
      </x:c>
    </x:row>
    <x:row r="21">
      <x:c r="A21" s="12" t="str">
        <x:v>SRC020</x:v>
      </x:c>
      <x:c r="B21" s="12" t="str">
        <x:v>dramaboxdb.com</x:v>
      </x:c>
      <x:c r="C21" s="12" t="str">
        <x:v>Secondary guide/fandom/SEO</x:v>
      </x:c>
      <x:c r="D21" s="12" t="str">
        <x:v>D</x:v>
      </x:c>
      <x:c r="E21" s="20" t="n">
        <x:v>1</x:v>
      </x:c>
      <x:c r="F21" s="12" t="str">
        <x:v>Second Chance With Mafia Lover</x:v>
      </x:c>
      <x:c r="G21" s="12" t="str">
        <x:v>Base_XLSX</x:v>
      </x:c>
      <x:c r="H21" s="12" t="str">
        <x:v>https://www.dramaboxdb.com/content/critique/4821_second-chance-with-mafia-lover-dailymotion</x:v>
      </x:c>
    </x:row>
    <x:row r="22">
      <x:c r="A22" s="12" t="str">
        <x:v>SRC021</x:v>
      </x:c>
      <x:c r="B22" s="12" t="str">
        <x:v>dramaboxdb.com</x:v>
      </x:c>
      <x:c r="C22" s="12" t="str">
        <x:v>Secondary guide/fandom/SEO</x:v>
      </x:c>
      <x:c r="D22" s="12" t="str">
        <x:v>D</x:v>
      </x:c>
      <x:c r="E22" s="20" t="n">
        <x:v>1</x:v>
      </x:c>
      <x:c r="F22" s="12" t="str">
        <x:v>Miss You After Goodbye</x:v>
      </x:c>
      <x:c r="G22" s="12" t="str">
        <x:v>Base_XLSX</x:v>
      </x:c>
      <x:c r="H22" s="12" t="str">
        <x:v>https://www.dramaboxdb.com/content/critique/4995_miss-you-after-goodbye-episode-24</x:v>
      </x:c>
    </x:row>
    <x:row r="23">
      <x:c r="A23" s="12" t="str">
        <x:v>SRC022</x:v>
      </x:c>
      <x:c r="B23" s="12" t="str">
        <x:v>dramaboxdb.com</x:v>
      </x:c>
      <x:c r="C23" s="12" t="str">
        <x:v>Secondary guide/fandom/SEO</x:v>
      </x:c>
      <x:c r="D23" s="12" t="str">
        <x:v>D</x:v>
      </x:c>
      <x:c r="E23" s="20" t="n">
        <x:v>1</x:v>
      </x:c>
      <x:c r="F23" s="12" t="str">
        <x:v>Love Is a Game, I Play for Power</x:v>
      </x:c>
      <x:c r="G23" s="12" t="str">
        <x:v>Base_XLSX</x:v>
      </x:c>
      <x:c r="H23" s="12" t="str">
        <x:v>https://www.dramaboxdb.com/content/critique/5162_love-is-a-game-i-play-for-power-chinese-drama</x:v>
      </x:c>
    </x:row>
    <x:row r="24">
      <x:c r="A24" s="12" t="str">
        <x:v>SRC023</x:v>
      </x:c>
      <x:c r="B24" s="12" t="str">
        <x:v>dramaboxdb.com</x:v>
      </x:c>
      <x:c r="C24" s="12" t="str">
        <x:v>Secondary guide/fandom/SEO</x:v>
      </x:c>
      <x:c r="D24" s="12" t="str">
        <x:v>D</x:v>
      </x:c>
      <x:c r="E24" s="20" t="n">
        <x:v>1</x:v>
      </x:c>
      <x:c r="F24" s="12" t="str">
        <x:v>Knocked Up by the Silver Fox Alpha</x:v>
      </x:c>
      <x:c r="G24" s="12" t="str">
        <x:v>Base_XLSX</x:v>
      </x:c>
      <x:c r="H24" s="12" t="str">
        <x:v>https://www.dramaboxdb.com/content/critique/5191_knocked-up-by-the-silver-fox-alpha-full-episodes</x:v>
      </x:c>
    </x:row>
    <x:row r="25">
      <x:c r="A25" s="12" t="str">
        <x:v>SRC024</x:v>
      </x:c>
      <x:c r="B25" s="12" t="str">
        <x:v>dramaboxdb.com</x:v>
      </x:c>
      <x:c r="C25" s="12" t="str">
        <x:v>Secondary guide/fandom/SEO</x:v>
      </x:c>
      <x:c r="D25" s="12" t="str">
        <x:v>D</x:v>
      </x:c>
      <x:c r="E25" s="20" t="n">
        <x:v>1</x:v>
      </x:c>
      <x:c r="F25" s="12" t="str">
        <x:v>Divorced, Now a Lycan Princess</x:v>
      </x:c>
      <x:c r="G25" s="12" t="str">
        <x:v>Base_XLSX</x:v>
      </x:c>
      <x:c r="H25" s="12" t="str">
        <x:v>https://www.dramaboxdb.com/content/critique/5278_divorced-now-a-lycan-princess-full-episodes</x:v>
      </x:c>
    </x:row>
    <x:row r="26">
      <x:c r="A26" s="12" t="str">
        <x:v>SRC025</x:v>
      </x:c>
      <x:c r="B26" s="12" t="str">
        <x:v>dramaboxdb.com</x:v>
      </x:c>
      <x:c r="C26" s="12" t="str">
        <x:v>Secondary guide/fandom/SEO</x:v>
      </x:c>
      <x:c r="D26" s="12" t="str">
        <x:v>D</x:v>
      </x:c>
      <x:c r="E26" s="20" t="n">
        <x:v>1</x:v>
      </x:c>
      <x:c r="F26" s="12" t="str">
        <x:v>Mafia's Good Girl</x:v>
      </x:c>
      <x:c r="G26" s="12" t="str">
        <x:v>Base_XLSX</x:v>
      </x:c>
      <x:c r="H26" s="12" t="str">
        <x:v>https://www.dramaboxdb.com/content/critique/5283_mafias-good-girl-dramabox-full-episodes</x:v>
      </x:c>
    </x:row>
    <x:row r="27">
      <x:c r="A27" s="12" t="str">
        <x:v>SRC026</x:v>
      </x:c>
      <x:c r="B27" s="12" t="str">
        <x:v>dramaboxdb.com</x:v>
      </x:c>
      <x:c r="C27" s="12" t="str">
        <x:v>Secondary guide/fandom/SEO</x:v>
      </x:c>
      <x:c r="D27" s="12" t="str">
        <x:v>D</x:v>
      </x:c>
      <x:c r="E27" s="20" t="n">
        <x:v>2</x:v>
      </x:c>
      <x:c r="F27" s="12" t="str">
        <x:v>Watch Out, I'm The Lady Boss; Watch Out, I’m The Lady Boss</x:v>
      </x:c>
      <x:c r="G27" s="12" t="str">
        <x:v>Base_XLSX</x:v>
      </x:c>
      <x:c r="H27" s="12" t="str">
        <x:v>https://www.dramaboxdb.com/content/critique/5297_watch-out-im-the-lady-boss-full-episodes</x:v>
      </x:c>
    </x:row>
    <x:row r="28">
      <x:c r="A28" s="12" t="str">
        <x:v>SRC027</x:v>
      </x:c>
      <x:c r="B28" s="12" t="str">
        <x:v>dramaboxdb.com</x:v>
      </x:c>
      <x:c r="C28" s="12" t="str">
        <x:v>Secondary guide/fandom/SEO</x:v>
      </x:c>
      <x:c r="D28" s="12" t="str">
        <x:v>D</x:v>
      </x:c>
      <x:c r="E28" s="20" t="n">
        <x:v>1</x:v>
      </x:c>
      <x:c r="F28" s="12" t="str">
        <x:v>They Love Me Too Late</x:v>
      </x:c>
      <x:c r="G28" s="12" t="str">
        <x:v>Base_XLSX</x:v>
      </x:c>
      <x:c r="H28" s="12" t="str">
        <x:v>https://www.dramaboxdb.com/content/critique/5346_they-love-me-too-late-full-episodes</x:v>
      </x:c>
    </x:row>
    <x:row r="29">
      <x:c r="A29" s="12" t="str">
        <x:v>SRC028</x:v>
      </x:c>
      <x:c r="B29" s="12" t="str">
        <x:v>dramaboxdb.com</x:v>
      </x:c>
      <x:c r="C29" s="12" t="str">
        <x:v>Secondary guide/fandom/SEO</x:v>
      </x:c>
      <x:c r="D29" s="12" t="str">
        <x:v>D</x:v>
      </x:c>
      <x:c r="E29" s="20" t="n">
        <x:v>1</x:v>
      </x:c>
      <x:c r="F29" s="12" t="str">
        <x:v>악녀로 빙의중!</x:v>
      </x:c>
      <x:c r="G29" s="12" t="str">
        <x:v>Base_XLSX</x:v>
      </x:c>
      <x:c r="H29" s="12" t="str">
        <x:v>https://www.dramaboxdb.com/content/critique/5390_%EC%95%85%EB%85%80%EB%A1%9C-%EB%B9%99%EC%9D%98%EC%A4%91-%EB%8B%A4%EC%8B%9C%EB%B3%B4%EA%B8%B0</x:v>
      </x:c>
    </x:row>
    <x:row r="30">
      <x:c r="A30" s="12" t="str">
        <x:v>SRC029</x:v>
      </x:c>
      <x:c r="B30" s="12" t="str">
        <x:v>dramaboxdb.com</x:v>
      </x:c>
      <x:c r="C30" s="12" t="str">
        <x:v>Secondary guide/fandom/SEO</x:v>
      </x:c>
      <x:c r="D30" s="12" t="str">
        <x:v>D</x:v>
      </x:c>
      <x:c r="E30" s="20" t="n">
        <x:v>1</x:v>
      </x:c>
      <x:c r="F30" s="12" t="str">
        <x:v>His Love Was A Lie</x:v>
      </x:c>
      <x:c r="G30" s="12" t="str">
        <x:v>Base+Supplement_DOCX</x:v>
      </x:c>
      <x:c r="H30" s="12" t="str">
        <x:v>https://www.dramaboxdb.com/content/critique/5856_his-love-was-a-lie-new-dramabox</x:v>
      </x:c>
    </x:row>
    <x:row r="31">
      <x:c r="A31" s="12" t="str">
        <x:v>SRC030</x:v>
      </x:c>
      <x:c r="B31" s="12" t="str">
        <x:v>dramaboxdb.com</x:v>
      </x:c>
      <x:c r="C31" s="12" t="str">
        <x:v>Secondary guide/fandom/SEO</x:v>
      </x:c>
      <x:c r="D31" s="12" t="str">
        <x:v>D</x:v>
      </x:c>
      <x:c r="E31" s="20" t="n">
        <x:v>1</x:v>
      </x:c>
      <x:c r="F31" s="12" t="str">
        <x:v>If I Never Loved You</x:v>
      </x:c>
      <x:c r="G31" s="12" t="str">
        <x:v>Base_XLSX</x:v>
      </x:c>
      <x:c r="H31" s="12" t="str">
        <x:v>https://www.dramaboxdb.com/content/critique/6288_if-i-never-loved-you-full-episodes</x:v>
      </x:c>
    </x:row>
    <x:row r="32">
      <x:c r="A32" s="12" t="str">
        <x:v>SRC031</x:v>
      </x:c>
      <x:c r="B32" s="12" t="str">
        <x:v>dramaboxdb.com</x:v>
      </x:c>
      <x:c r="C32" s="12" t="str">
        <x:v>Secondary guide/fandom/SEO</x:v>
      </x:c>
      <x:c r="D32" s="12" t="str">
        <x:v>D</x:v>
      </x:c>
      <x:c r="E32" s="20" t="n">
        <x:v>1</x:v>
      </x:c>
      <x:c r="F32" s="12" t="str">
        <x:v>After All This Time</x:v>
      </x:c>
      <x:c r="G32" s="12" t="str">
        <x:v>Base_XLSX</x:v>
      </x:c>
      <x:c r="H32" s="12" t="str">
        <x:v>https://www.dramaboxdb.com/content/critique/6366_after-all-this-time-full-episodes</x:v>
      </x:c>
    </x:row>
    <x:row r="33">
      <x:c r="A33" s="12" t="str">
        <x:v>SRC032</x:v>
      </x:c>
      <x:c r="B33" s="12" t="str">
        <x:v>dramaboxdb.com</x:v>
      </x:c>
      <x:c r="C33" s="12" t="str">
        <x:v>Secondary guide/fandom/SEO</x:v>
      </x:c>
      <x:c r="D33" s="12" t="str">
        <x:v>D</x:v>
      </x:c>
      <x:c r="E33" s="20" t="n">
        <x:v>1</x:v>
      </x:c>
      <x:c r="F33" s="12" t="str">
        <x:v>Flash Marriage to My Billionaire Hobo Hubby</x:v>
      </x:c>
      <x:c r="G33" s="12" t="str">
        <x:v>Base_XLSX</x:v>
      </x:c>
      <x:c r="H33" s="12" t="str">
        <x:v>https://www.dramaboxdb.com/content/list/Contract%20Marriage</x:v>
      </x:c>
    </x:row>
    <x:row r="34">
      <x:c r="A34" s="12" t="str">
        <x:v>SRC033</x:v>
      </x:c>
      <x:c r="B34" s="12" t="str">
        <x:v>dramaboxdb.com</x:v>
      </x:c>
      <x:c r="C34" s="12" t="str">
        <x:v>Secondary guide/fandom/SEO</x:v>
      </x:c>
      <x:c r="D34" s="12" t="str">
        <x:v>D</x:v>
      </x:c>
      <x:c r="E34" s="20" t="n">
        <x:v>1</x:v>
      </x:c>
      <x:c r="F34" s="12" t="str">
        <x:v>Your Billionaire Bride Is My Cheating Wife</x:v>
      </x:c>
      <x:c r="G34" s="12" t="str">
        <x:v>Base_XLSX</x:v>
      </x:c>
      <x:c r="H34" s="12" t="str">
        <x:v>https://www.dramaboxdb.com/content/list/Marriage</x:v>
      </x:c>
    </x:row>
    <x:row r="35">
      <x:c r="A35" s="12" t="str">
        <x:v>SRC034</x:v>
      </x:c>
      <x:c r="B35" s="12" t="str">
        <x:v>dramaboxdb.com</x:v>
      </x:c>
      <x:c r="C35" s="12" t="str">
        <x:v>Secondary guide/fandom/SEO</x:v>
      </x:c>
      <x:c r="D35" s="12" t="str">
        <x:v>D</x:v>
      </x:c>
      <x:c r="E35" s="20" t="n">
        <x:v>1</x:v>
      </x:c>
      <x:c r="F35" s="12" t="str">
        <x:v>Hunter in the Ring: Gloves Off, Blood On (DUBBED)</x:v>
      </x:c>
      <x:c r="G35" s="12" t="str">
        <x:v>Base_XLSX</x:v>
      </x:c>
      <x:c r="H35" s="12" t="str">
        <x:v>https://www.dramaboxdb.com/content/list/Revenge/9</x:v>
      </x:c>
    </x:row>
    <x:row r="36">
      <x:c r="A36" s="12" t="str">
        <x:v>SRC035</x:v>
      </x:c>
      <x:c r="B36" s="12" t="str">
        <x:v>facebook.com</x:v>
      </x:c>
      <x:c r="C36" s="12" t="str">
        <x:v>Social signal</x:v>
      </x:c>
      <x:c r="D36" s="12" t="str">
        <x:v>C</x:v>
      </x:c>
      <x:c r="E36" s="20" t="n">
        <x:v>1</x:v>
      </x:c>
      <x:c r="F36" s="12" t="str">
        <x:v>My Super-Vision Husband</x:v>
      </x:c>
      <x:c r="G36" s="12" t="str">
        <x:v>Base_XLSX</x:v>
      </x:c>
      <x:c r="H36" s="12" t="str">
        <x:v>https://www.facebook.com/61576333226158/videos/download-dramawave-tv-to-watch-more-series/2038055583592546/</x:v>
      </x:c>
    </x:row>
    <x:row r="37">
      <x:c r="A37" s="12" t="str">
        <x:v>SRC036</x:v>
      </x:c>
      <x:c r="B37" s="12" t="str">
        <x:v>facebook.com</x:v>
      </x:c>
      <x:c r="C37" s="12" t="str">
        <x:v>Social signal</x:v>
      </x:c>
      <x:c r="D37" s="12" t="str">
        <x:v>C</x:v>
      </x:c>
      <x:c r="E37" s="20" t="n">
        <x:v>2</x:v>
      </x:c>
      <x:c r="F37" s="12" t="str">
        <x:v>Pucked by My Hockey Rival</x:v>
      </x:c>
      <x:c r="G37" s="12" t="str">
        <x:v>Base_XLSX</x:v>
      </x:c>
      <x:c r="H37" s="12" t="str">
        <x:v>https://www.facebook.com/61576333226158/videos/pucked-by-my-hockey-rival/1275966807648031/</x:v>
      </x:c>
    </x:row>
    <x:row r="38">
      <x:c r="A38" s="12" t="str">
        <x:v>SRC037</x:v>
      </x:c>
      <x:c r="B38" s="12" t="str">
        <x:v>facebook.com</x:v>
      </x:c>
      <x:c r="C38" s="12" t="str">
        <x:v>Social signal</x:v>
      </x:c>
      <x:c r="D38" s="12" t="str">
        <x:v>C</x:v>
      </x:c>
      <x:c r="E38" s="20" t="n">
        <x:v>1</x:v>
      </x:c>
      <x:c r="F38" s="12" t="str">
        <x:v>The Cooking Queen: A Recipe for Divorce</x:v>
      </x:c>
      <x:c r="G38" s="12" t="str">
        <x:v>Supplement_DOCX</x:v>
      </x:c>
      <x:c r="H38" s="12" t="str">
        <x:v>https://www.facebook.com/61584092303548/posts/mustwatch-%EF%B8%8Fthe-cooking-queen-a-recipe-for-divorcejessemorales-newmovie/122126189499136410/</x:v>
      </x:c>
    </x:row>
    <x:row r="39">
      <x:c r="A39" s="12" t="str">
        <x:v>SRC038</x:v>
      </x:c>
      <x:c r="B39" s="12" t="str">
        <x:v>facebook.com</x:v>
      </x:c>
      <x:c r="C39" s="12" t="str">
        <x:v>Social signal</x:v>
      </x:c>
      <x:c r="D39" s="12" t="str">
        <x:v>C</x:v>
      </x:c>
      <x:c r="E39" s="20" t="n">
        <x:v>1</x:v>
      </x:c>
      <x:c r="F39" s="12" t="str">
        <x:v>Three Chances, Then Goodbye</x:v>
      </x:c>
      <x:c r="G39" s="12" t="str">
        <x:v>Supplement_DOCX</x:v>
      </x:c>
      <x:c r="H39" s="12" t="str">
        <x:v>https://www.facebook.com/DramaBoxMoviesDrama/posts/a-mothers-last-gift-she-visits-her-son-in-the-city-never-expecting-that-he-would/122347958360084684/</x:v>
      </x:c>
    </x:row>
    <x:row r="40">
      <x:c r="A40" s="12" t="str">
        <x:v>SRC039</x:v>
      </x:c>
      <x:c r="B40" s="12" t="str">
        <x:v>goodshort.com</x:v>
      </x:c>
      <x:c r="C40" s="12" t="str">
        <x:v>Official platform</x:v>
      </x:c>
      <x:c r="D40" s="12" t="str">
        <x:v>A</x:v>
      </x:c>
      <x:c r="E40" s="20" t="n">
        <x:v>4</x:v>
      </x:c>
      <x:c r="F40" s="12" t="str">
        <x:v>Found A Homeless Genius To Save My Company; Mommy Hold On I Brought Daddy to Save You</x:v>
      </x:c>
      <x:c r="G40" s="12" t="str">
        <x:v>Supplement_DOCX</x:v>
      </x:c>
      <x:c r="H40" s="12" t="str">
        <x:v>https://www.goodshort.com/</x:v>
      </x:c>
    </x:row>
    <x:row r="41">
      <x:c r="A41" s="12" t="str">
        <x:v>SRC040</x:v>
      </x:c>
      <x:c r="B41" s="12" t="str">
        <x:v>goodshort.com</x:v>
      </x:c>
      <x:c r="C41" s="12" t="str">
        <x:v>Official platform</x:v>
      </x:c>
      <x:c r="D41" s="12" t="str">
        <x:v>A</x:v>
      </x:c>
      <x:c r="E41" s="20" t="n">
        <x:v>1</x:v>
      </x:c>
      <x:c r="F41" s="12" t="str">
        <x:v>A Blind Date with my Mr. Meant-to-Be</x:v>
      </x:c>
      <x:c r="G41" s="12" t="str">
        <x:v>Supplement_DOCX</x:v>
      </x:c>
      <x:c r="H41" s="12" t="str">
        <x:v>https://www.goodshort.com/drama/a-blind-date-with-my-mr-meant-to-be-31000991502</x:v>
      </x:c>
    </x:row>
    <x:row r="42">
      <x:c r="A42" s="12" t="str">
        <x:v>SRC041</x:v>
      </x:c>
      <x:c r="B42" s="12" t="str">
        <x:v>goodshort.com</x:v>
      </x:c>
      <x:c r="C42" s="12" t="str">
        <x:v>Official platform</x:v>
      </x:c>
      <x:c r="D42" s="12" t="str">
        <x:v>A</x:v>
      </x:c>
      <x:c r="E42" s="20" t="n">
        <x:v>1</x:v>
      </x:c>
      <x:c r="F42" s="12" t="str">
        <x:v>An Unreliable Guide on Dating Your CEO</x:v>
      </x:c>
      <x:c r="G42" s="12" t="str">
        <x:v>Supplement_DOCX</x:v>
      </x:c>
      <x:c r="H42" s="12" t="str">
        <x:v>https://www.goodshort.com/drama/an-unreliable-guide-on-dating-your-ceo-31000786234</x:v>
      </x:c>
    </x:row>
    <x:row r="43">
      <x:c r="A43" s="12" t="str">
        <x:v>SRC042</x:v>
      </x:c>
      <x:c r="B43" s="12" t="str">
        <x:v>goodshort.com</x:v>
      </x:c>
      <x:c r="C43" s="12" t="str">
        <x:v>Official platform</x:v>
      </x:c>
      <x:c r="D43" s="12" t="str">
        <x:v>A</x:v>
      </x:c>
      <x:c r="E43" s="20" t="n">
        <x:v>3</x:v>
      </x:c>
      <x:c r="F43" s="12" t="str">
        <x:v>Blood and Bones of the Disowned Daughter</x:v>
      </x:c>
      <x:c r="G43" s="12" t="str">
        <x:v>Base+Supplement_DOCX</x:v>
      </x:c>
      <x:c r="H43" s="12" t="str">
        <x:v>https://www.goodshort.com/drama/blood-and-bones-of-the-disowned-daughter-31001113972</x:v>
      </x:c>
    </x:row>
    <x:row r="44">
      <x:c r="A44" s="12" t="str">
        <x:v>SRC043</x:v>
      </x:c>
      <x:c r="B44" s="12" t="str">
        <x:v>goodshort.com</x:v>
      </x:c>
      <x:c r="C44" s="12" t="str">
        <x:v>Official platform</x:v>
      </x:c>
      <x:c r="D44" s="12" t="str">
        <x:v>A</x:v>
      </x:c>
      <x:c r="E44" s="20" t="n">
        <x:v>1</x:v>
      </x:c>
      <x:c r="F44" s="12" t="str">
        <x:v>The Romance System in a Dead World</x:v>
      </x:c>
      <x:c r="G44" s="12" t="str">
        <x:v>Supplement_DOCX</x:v>
      </x:c>
      <x:c r="H44" s="12" t="str">
        <x:v>https://www.goodshort.com/drama/eng-dub-the-romance-system-in-a-dead-world-31001305309</x:v>
      </x:c>
    </x:row>
    <x:row r="45">
      <x:c r="A45" s="12" t="str">
        <x:v>SRC044</x:v>
      </x:c>
      <x:c r="B45" s="12" t="str">
        <x:v>goodshort.com</x:v>
      </x:c>
      <x:c r="C45" s="12" t="str">
        <x:v>Official platform</x:v>
      </x:c>
      <x:c r="D45" s="12" t="str">
        <x:v>A</x:v>
      </x:c>
      <x:c r="E45" s="20" t="n">
        <x:v>4</x:v>
      </x:c>
      <x:c r="F45" s="12" t="str">
        <x:v>He's Too Late for Her Mafia Majesty</x:v>
      </x:c>
      <x:c r="G45" s="12" t="str">
        <x:v>Base_XLSX</x:v>
      </x:c>
      <x:c r="H45" s="12" t="str">
        <x:v>https://www.goodshort.com/drama/he-s-too-late-for-her-mafia-majesty-31001241698</x:v>
      </x:c>
    </x:row>
    <x:row r="46">
      <x:c r="A46" s="12" t="str">
        <x:v>SRC045</x:v>
      </x:c>
      <x:c r="B46" s="12" t="str">
        <x:v>goodshort.com</x:v>
      </x:c>
      <x:c r="C46" s="12" t="str">
        <x:v>Official platform</x:v>
      </x:c>
      <x:c r="D46" s="12" t="str">
        <x:v>A</x:v>
      </x:c>
      <x:c r="E46" s="20" t="n">
        <x:v>1</x:v>
      </x:c>
      <x:c r="F46" s="12" t="str">
        <x:v>Mistaken Encounter, Unexpected Love</x:v>
      </x:c>
      <x:c r="G46" s="12" t="str">
        <x:v>Supplement_DOCX</x:v>
      </x:c>
      <x:c r="H46" s="12" t="str">
        <x:v>https://www.goodshort.com/drama/mistaken-encounter-unexpected-love-31000753863</x:v>
      </x:c>
    </x:row>
    <x:row r="47">
      <x:c r="A47" s="12" t="str">
        <x:v>SRC046</x:v>
      </x:c>
      <x:c r="B47" s="12" t="str">
        <x:v>goodshort.com</x:v>
      </x:c>
      <x:c r="C47" s="12" t="str">
        <x:v>Official platform</x:v>
      </x:c>
      <x:c r="D47" s="12" t="str">
        <x:v>A</x:v>
      </x:c>
      <x:c r="E47" s="20" t="n">
        <x:v>1</x:v>
      </x:c>
      <x:c r="F47" s="12" t="str">
        <x:v>My Marriage Comes With Secrets</x:v>
      </x:c>
      <x:c r="G47" s="12" t="str">
        <x:v>Supplement_DOCX</x:v>
      </x:c>
      <x:c r="H47" s="12" t="str">
        <x:v>https://www.goodshort.com/drama/my-marriage-comes-with-secrets-31001244320</x:v>
      </x:c>
    </x:row>
    <x:row r="48">
      <x:c r="A48" s="12" t="str">
        <x:v>SRC047</x:v>
      </x:c>
      <x:c r="B48" s="12" t="str">
        <x:v>goodshort.com</x:v>
      </x:c>
      <x:c r="C48" s="12" t="str">
        <x:v>Official platform</x:v>
      </x:c>
      <x:c r="D48" s="12" t="str">
        <x:v>A</x:v>
      </x:c>
      <x:c r="E48" s="20" t="n">
        <x:v>1</x:v>
      </x:c>
      <x:c r="F48" s="12" t="str">
        <x:v>Straight Until He Kissed Me</x:v>
      </x:c>
      <x:c r="G48" s="12" t="str">
        <x:v>Supplement_DOCX</x:v>
      </x:c>
      <x:c r="H48" s="12" t="str">
        <x:v>https://www.goodshort.com/drama/straight-until-he-kissed-me-31001108367</x:v>
      </x:c>
    </x:row>
    <x:row r="49">
      <x:c r="A49" s="12" t="str">
        <x:v>SRC048</x:v>
      </x:c>
      <x:c r="B49" s="12" t="str">
        <x:v>goodshort.com</x:v>
      </x:c>
      <x:c r="C49" s="12" t="str">
        <x:v>Official platform</x:v>
      </x:c>
      <x:c r="D49" s="12" t="str">
        <x:v>A</x:v>
      </x:c>
      <x:c r="E49" s="20" t="n">
        <x:v>2</x:v>
      </x:c>
      <x:c r="F49" s="12" t="str">
        <x:v>My New Daddy is a Five-Star General; Too Late, Alphas</x:v>
      </x:c>
      <x:c r="G49" s="12" t="str">
        <x:v>Supplement_DOCX</x:v>
      </x:c>
      <x:c r="H49" s="12" t="str">
        <x:v>https://www.goodshort.com/drama/too-late-alphas-31001322440</x:v>
      </x:c>
    </x:row>
    <x:row r="50">
      <x:c r="A50" s="12" t="str">
        <x:v>SRC049</x:v>
      </x:c>
      <x:c r="B50" s="12" t="str">
        <x:v>goodshort.com</x:v>
      </x:c>
      <x:c r="C50" s="12" t="str">
        <x:v>Official platform</x:v>
      </x:c>
      <x:c r="D50" s="12" t="str">
        <x:v>A</x:v>
      </x:c>
      <x:c r="E50" s="20" t="n">
        <x:v>2</x:v>
      </x:c>
      <x:c r="F50" s="12" t="str">
        <x:v>Destined to Love; The Unwanted Mate</x:v>
      </x:c>
      <x:c r="G50" s="12" t="str">
        <x:v>Base_XLSX</x:v>
      </x:c>
      <x:c r="H50" s="12" t="str">
        <x:v>https://www.goodshort.com/resources/review/best-top-chinese-mini-dramas-list</x:v>
      </x:c>
    </x:row>
    <x:row r="51">
      <x:c r="A51" s="12" t="str">
        <x:v>SRC050</x:v>
      </x:c>
      <x:c r="B51" s="12" t="str">
        <x:v>goodshort.com</x:v>
      </x:c>
      <x:c r="C51" s="12" t="str">
        <x:v>Official platform</x:v>
      </x:c>
      <x:c r="D51" s="12" t="str">
        <x:v>A</x:v>
      </x:c>
      <x:c r="E51" s="20" t="n">
        <x:v>3</x:v>
      </x:c>
      <x:c r="F51" s="12" t="str">
        <x:v>Perfect Love; Sleeping Handsome; Love by Contract</x:v>
      </x:c>
      <x:c r="G51" s="12" t="str">
        <x:v>Base_XLSX</x:v>
      </x:c>
      <x:c r="H51" s="12" t="str">
        <x:v>https://www.goodshort.com/resources/review/best-top-mini-dramas-list</x:v>
      </x:c>
    </x:row>
    <x:row r="52">
      <x:c r="A52" s="12" t="str">
        <x:v>SRC051</x:v>
      </x:c>
      <x:c r="B52" s="12" t="str">
        <x:v>goodshort.com</x:v>
      </x:c>
      <x:c r="C52" s="12" t="str">
        <x:v>Official platform</x:v>
      </x:c>
      <x:c r="D52" s="12" t="str">
        <x:v>A</x:v>
      </x:c>
      <x:c r="E52" s="20" t="n">
        <x:v>7</x:v>
      </x:c>
      <x:c r="F52" s="12" t="str">
        <x:v>Blood and Bones of the Disowned Daughter</x:v>
      </x:c>
      <x:c r="G52" s="12" t="str">
        <x:v>Base+Supplement_DOCX; Base_XLSX</x:v>
      </x:c>
      <x:c r="H52" s="12" t="str">
        <x:v>https://www.goodshort.com/resources/review/blood-and-bones-of-the-disowned-daughter-sweet-ruthless-fate-waits-natalie</x:v>
      </x:c>
    </x:row>
    <x:row r="53">
      <x:c r="A53" s="12" t="str">
        <x:v>SRC052</x:v>
      </x:c>
      <x:c r="B53" s="12" t="str">
        <x:v>goodshort.com</x:v>
      </x:c>
      <x:c r="C53" s="12" t="str">
        <x:v>Official platform</x:v>
      </x:c>
      <x:c r="D53" s="12" t="str">
        <x:v>A</x:v>
      </x:c>
      <x:c r="E53" s="20" t="n">
        <x:v>1</x:v>
      </x:c>
      <x:c r="F53" s="12" t="str">
        <x:v>Blooming Under Your Love</x:v>
      </x:c>
      <x:c r="G53" s="12" t="str">
        <x:v>Base_XLSX</x:v>
      </x:c>
      <x:c r="H53" s="12" t="str">
        <x:v>https://www.goodshort.com/resources/review/blooming-under-your-love</x:v>
      </x:c>
    </x:row>
    <x:row r="54">
      <x:c r="A54" s="12" t="str">
        <x:v>SRC053</x:v>
      </x:c>
      <x:c r="B54" s="12" t="str">
        <x:v>goodshort.com</x:v>
      </x:c>
      <x:c r="C54" s="12" t="str">
        <x:v>Official platform</x:v>
      </x:c>
      <x:c r="D54" s="12" t="str">
        <x:v>A</x:v>
      </x:c>
      <x:c r="E54" s="20" t="n">
        <x:v>3</x:v>
      </x:c>
      <x:c r="F54" s="12" t="str">
        <x:v>Bricklaying for Six Years, My Goddess Proposes to Me</x:v>
      </x:c>
      <x:c r="G54" s="12" t="str">
        <x:v>Base_XLSX</x:v>
      </x:c>
      <x:c r="H54" s="12" t="str">
        <x:v>https://www.goodshort.com/resources/review/bricklaying-for-six-years-my-goddess-proposes-to-me-spoiler-alert-plot-twist-construction-worker-gets-proposed-by-rich-heiress</x:v>
      </x:c>
    </x:row>
    <x:row r="55">
      <x:c r="A55" s="12" t="str">
        <x:v>SRC054</x:v>
      </x:c>
      <x:c r="B55" s="12" t="str">
        <x:v>goodshort.com</x:v>
      </x:c>
      <x:c r="C55" s="12" t="str">
        <x:v>Official platform</x:v>
      </x:c>
      <x:c r="D55" s="12" t="str">
        <x:v>A</x:v>
      </x:c>
      <x:c r="E55" s="20" t="n">
        <x:v>4</x:v>
      </x:c>
      <x:c r="F55" s="12" t="str">
        <x:v>Titan Era: Ten Divine Beasts Rise with Me</x:v>
      </x:c>
      <x:c r="G55" s="12" t="str">
        <x:v>Base_XLSX</x:v>
      </x:c>
      <x:c r="H55" s="12" t="str">
        <x:v>https://www.goodshort.com/resources/review/eng-dub-titan-era-ten-divine-beasts-rise-with-me-spoiler-alert-can-he-make-a-comeback-after-the-system-appears</x:v>
      </x:c>
    </x:row>
    <x:row r="56">
      <x:c r="A56" s="12" t="str">
        <x:v>SRC055</x:v>
      </x:c>
      <x:c r="B56" s="12" t="str">
        <x:v>goodshort.com</x:v>
      </x:c>
      <x:c r="C56" s="12" t="str">
        <x:v>Official platform</x:v>
      </x:c>
      <x:c r="D56" s="12" t="str">
        <x:v>A</x:v>
      </x:c>
      <x:c r="E56" s="20" t="n">
        <x:v>4</x:v>
      </x:c>
      <x:c r="F56" s="12" t="str">
        <x:v>He's Too Late for Her Mafia Majesty</x:v>
      </x:c>
      <x:c r="G56" s="12" t="str">
        <x:v>Base_XLSX</x:v>
      </x:c>
      <x:c r="H56" s="12" t="str">
        <x:v>https://www.goodshort.com/resources/review/he-too-late-for-her-mafia-majesty-spoiler-alert-from-tenderness-to-ruthlessness-can-he-survive-her-bloody-revenge</x:v>
      </x:c>
    </x:row>
    <x:row r="57">
      <x:c r="A57" s="12" t="str">
        <x:v>SRC056</x:v>
      </x:c>
      <x:c r="B57" s="12" t="str">
        <x:v>goodshort.com</x:v>
      </x:c>
      <x:c r="C57" s="12" t="str">
        <x:v>Official platform</x:v>
      </x:c>
      <x:c r="D57" s="12" t="str">
        <x:v>A</x:v>
      </x:c>
      <x:c r="E57" s="20" t="n">
        <x:v>1</x:v>
      </x:c>
      <x:c r="F57" s="12" t="str">
        <x:v>Married for Greencard, Stayed for Love</x:v>
      </x:c>
      <x:c r="G57" s="12" t="str">
        <x:v>Base_XLSX</x:v>
      </x:c>
      <x:c r="H57" s="12" t="str">
        <x:v>https://www.goodshort.com/resources/review/married-for-greencard-stayed-for-love-drama</x:v>
      </x:c>
    </x:row>
    <x:row r="58">
      <x:c r="A58" s="12" t="str">
        <x:v>SRC057</x:v>
      </x:c>
      <x:c r="B58" s="12" t="str">
        <x:v>goodshort.com</x:v>
      </x:c>
      <x:c r="C58" s="12" t="str">
        <x:v>Official platform</x:v>
      </x:c>
      <x:c r="D58" s="12" t="str">
        <x:v>A</x:v>
      </x:c>
      <x:c r="E58" s="20" t="n">
        <x:v>3</x:v>
      </x:c>
      <x:c r="F58" s="12" t="str">
        <x:v>Transcendence; My Exclusive Wish Granter</x:v>
      </x:c>
      <x:c r="G58" s="12" t="str">
        <x:v>Base_XLSX</x:v>
      </x:c>
      <x:c r="H58" s="12" t="str">
        <x:v>https://www.goodshort.com/resources/review/my-exclusive-wish-granter-drama</x:v>
      </x:c>
    </x:row>
    <x:row r="59">
      <x:c r="A59" s="12" t="str">
        <x:v>SRC058</x:v>
      </x:c>
      <x:c r="B59" s="12" t="str">
        <x:v>goodshort.com</x:v>
      </x:c>
      <x:c r="C59" s="12" t="str">
        <x:v>Official platform</x:v>
      </x:c>
      <x:c r="D59" s="12" t="str">
        <x:v>A</x:v>
      </x:c>
      <x:c r="E59" s="20" t="n">
        <x:v>3</x:v>
      </x:c>
      <x:c r="F59" s="12" t="str">
        <x:v>"Ordinary" Life and "Poor" Husband; Ordinary Life and Poor Husband</x:v>
      </x:c>
      <x:c r="G59" s="12" t="str">
        <x:v>Base_XLSX</x:v>
      </x:c>
      <x:c r="H59" s="12" t="str">
        <x:v>https://www.goodshort.com/resources/review/ordinary-life-and-poor-husband-spoiler-alert-from-fake-poor-husband-to-real-feelings-how-long-can-his-hidden-ceo-identity-fool-her</x:v>
      </x:c>
    </x:row>
    <x:row r="60">
      <x:c r="A60" s="12" t="str">
        <x:v>SRC059</x:v>
      </x:c>
      <x:c r="B60" s="12" t="str">
        <x:v>goodshort.com</x:v>
      </x:c>
      <x:c r="C60" s="12" t="str">
        <x:v>Official platform</x:v>
      </x:c>
      <x:c r="D60" s="12" t="str">
        <x:v>A</x:v>
      </x:c>
      <x:c r="E60" s="20" t="n">
        <x:v>5</x:v>
      </x:c>
      <x:c r="F60" s="12" t="str">
        <x:v>Do Not Disturb: Lady Boss in Disguise!; Pengantin CEO Yang Bisu / Mute CEO Bride; We Are Never Ever Getting Back Together; Fated to the Alpha</x:v>
      </x:c>
      <x:c r="G60" s="12" t="str">
        <x:v>Base_XLSX</x:v>
      </x:c>
      <x:c r="H60" s="12" t="str">
        <x:v>https://www.goodshort.com/resources/review/pengantin-ceo-yang-bisu-drama</x:v>
      </x:c>
    </x:row>
    <x:row r="61">
      <x:c r="A61" s="12" t="str">
        <x:v>SRC060</x:v>
      </x:c>
      <x:c r="B61" s="12" t="str">
        <x:v>goodshort.com</x:v>
      </x:c>
      <x:c r="C61" s="12" t="str">
        <x:v>Official platform</x:v>
      </x:c>
      <x:c r="D61" s="12" t="str">
        <x:v>A</x:v>
      </x:c>
      <x:c r="E61" s="20" t="n">
        <x:v>3</x:v>
      </x:c>
      <x:c r="F61" s="12" t="str">
        <x:v>Sneak Me in Your Closet, My Prince</x:v>
      </x:c>
      <x:c r="G61" s="12" t="str">
        <x:v>Base_XLSX</x:v>
      </x:c>
      <x:c r="H61" s="12" t="str">
        <x:v>https://www.goodshort.com/resources/review/sneak-me-in-your-closet-my-prince</x:v>
      </x:c>
    </x:row>
    <x:row r="62">
      <x:c r="A62" s="12" t="str">
        <x:v>SRC061</x:v>
      </x:c>
      <x:c r="B62" s="12" t="str">
        <x:v>goodshort.com</x:v>
      </x:c>
      <x:c r="C62" s="12" t="str">
        <x:v>Official platform</x:v>
      </x:c>
      <x:c r="D62" s="12" t="str">
        <x:v>A</x:v>
      </x:c>
      <x:c r="E62" s="20" t="n">
        <x:v>2</x:v>
      </x:c>
      <x:c r="F62" s="12" t="str">
        <x:v>The Queen's Triumph</x:v>
      </x:c>
      <x:c r="G62" s="12" t="str">
        <x:v>Base_XLSX</x:v>
      </x:c>
      <x:c r="H62" s="12" t="str">
        <x:v>https://www.goodshort.com/resources/review/the-queen-s-triumph-drama</x:v>
      </x:c>
    </x:row>
    <x:row r="63">
      <x:c r="A63" s="12" t="str">
        <x:v>SRC062</x:v>
      </x:c>
      <x:c r="B63" s="12" t="str">
        <x:v>goodshort.com</x:v>
      </x:c>
      <x:c r="C63" s="12" t="str">
        <x:v>Official platform</x:v>
      </x:c>
      <x:c r="D63" s="12" t="str">
        <x:v>A</x:v>
      </x:c>
      <x:c r="E63" s="20" t="n">
        <x:v>7</x:v>
      </x:c>
      <x:c r="F63" s="12" t="str">
        <x:v>Titan Era: Ten Divine Beasts Rise with Me; Cousins by Name, Lovers in Secret</x:v>
      </x:c>
      <x:c r="G63" s="12" t="str">
        <x:v>Base_XLSX</x:v>
      </x:c>
      <x:c r="H63" s="12" t="str">
        <x:v>https://www.goodshort.com/resources/review/titan-era-ten-divine-beasts-rise-with-me-spoiler-alert-ordinary-young-man-travels-to-battlefield-how-will-he-create-miracles-amaze-everyone</x:v>
      </x:c>
    </x:row>
    <x:row r="64">
      <x:c r="A64" s="12" t="str">
        <x:v>SRC063</x:v>
      </x:c>
      <x:c r="B64" s="12" t="str">
        <x:v>instagram.com</x:v>
      </x:c>
      <x:c r="C64" s="12" t="str">
        <x:v>Social signal</x:v>
      </x:c>
      <x:c r="D64" s="12" t="str">
        <x:v>C</x:v>
      </x:c>
      <x:c r="E64" s="20" t="n">
        <x:v>2</x:v>
      </x:c>
      <x:c r="F64" s="12" t="str">
        <x:v>The Princess Returns; The Mafia Boss's Regret</x:v>
      </x:c>
      <x:c r="G64" s="12" t="str">
        <x:v>Base_XLSX</x:v>
      </x:c>
      <x:c r="H64" s="12" t="str">
        <x:v>https://www.instagram.com/p/DM3gGS1M9fh/</x:v>
      </x:c>
    </x:row>
    <x:row r="65">
      <x:c r="A65" s="12" t="str">
        <x:v>SRC064</x:v>
      </x:c>
      <x:c r="B65" s="12" t="str">
        <x:v>instagram.com</x:v>
      </x:c>
      <x:c r="C65" s="12" t="str">
        <x:v>Social signal</x:v>
      </x:c>
      <x:c r="D65" s="12" t="str">
        <x:v>C</x:v>
      </x:c>
      <x:c r="E65" s="20" t="n">
        <x:v>1</x:v>
      </x:c>
      <x:c r="F65" s="12" t="str">
        <x:v>Summer Honeymoon with My Secret Billionaire</x:v>
      </x:c>
      <x:c r="G65" s="12" t="str">
        <x:v>Supplement_DOCX</x:v>
      </x:c>
      <x:c r="H65" s="12" t="str">
        <x:v>https://www.instagram.com/p/DNQzzxNOn6p/</x:v>
      </x:c>
    </x:row>
    <x:row r="66">
      <x:c r="A66" s="12" t="str">
        <x:v>SRC065</x:v>
      </x:c>
      <x:c r="B66" s="12" t="str">
        <x:v>instagram.com</x:v>
      </x:c>
      <x:c r="C66" s="12" t="str">
        <x:v>Social signal</x:v>
      </x:c>
      <x:c r="D66" s="12" t="str">
        <x:v>C</x:v>
      </x:c>
      <x:c r="E66" s="20" t="n">
        <x:v>1</x:v>
      </x:c>
      <x:c r="F66" s="12" t="str">
        <x:v>Betray Me for a Princess? I’m Done Hiding!</x:v>
      </x:c>
      <x:c r="G66" s="12" t="str">
        <x:v>Supplement_DOCX</x:v>
      </x:c>
      <x:c r="H66" s="12" t="str">
        <x:v>https://www.instagram.com/p/DWEQ1CCADrN/</x:v>
      </x:c>
    </x:row>
    <x:row r="67">
      <x:c r="A67" s="12" t="str">
        <x:v>SRC066</x:v>
      </x:c>
      <x:c r="B67" s="12" t="str">
        <x:v>instagram.com</x:v>
      </x:c>
      <x:c r="C67" s="12" t="str">
        <x:v>Social signal</x:v>
      </x:c>
      <x:c r="D67" s="12" t="str">
        <x:v>C</x:v>
      </x:c>
      <x:c r="E67" s="20" t="n">
        <x:v>1</x:v>
      </x:c>
      <x:c r="F67" s="12" t="str">
        <x:v>그대는 오아시스</x:v>
      </x:c>
      <x:c r="G67" s="12" t="str">
        <x:v>Base_XLSX</x:v>
      </x:c>
      <x:c r="H67" s="12" t="str">
        <x:v>https://www.instagram.com/reel/DSZfRIdkZVV/</x:v>
      </x:c>
    </x:row>
    <x:row r="68">
      <x:c r="A68" s="12" t="str">
        <x:v>SRC067</x:v>
      </x:c>
      <x:c r="B68" s="12" t="str">
        <x:v>itopmarketing.com</x:v>
      </x:c>
      <x:c r="C68" s="12" t="str">
        <x:v>Industry/media report</x:v>
      </x:c>
      <x:c r="D68" s="12" t="str">
        <x:v>B</x:v>
      </x:c>
      <x:c r="E68" s="20" t="n">
        <x:v>4</x:v>
      </x:c>
      <x:c r="F68" s="12" t="str">
        <x:v>說好的乙遊戀愛呢？執事怎麼全員黑化了！; One Move God Mode; The Discarded Ace</x:v>
      </x:c>
      <x:c r="G68" s="12" t="str">
        <x:v>Base+Supplement_DOCX; Supplement_DOCX</x:v>
      </x:c>
      <x:c r="H68" s="12" t="str">
        <x:v>https://www.itopmarketing.com/info22317</x:v>
      </x:c>
    </x:row>
    <x:row r="69">
      <x:c r="A69" s="12" t="str">
        <x:v>SRC068</x:v>
      </x:c>
      <x:c r="B69" s="12" t="str">
        <x:v>m.mydramawave.com</x:v>
      </x:c>
      <x:c r="C69" s="12" t="str">
        <x:v>Official platform</x:v>
      </x:c>
      <x:c r="D69" s="12" t="str">
        <x:v>A</x:v>
      </x:c>
      <x:c r="E69" s="20" t="n">
        <x:v>1</x:v>
      </x:c>
      <x:c r="F69" s="12" t="str">
        <x:v>The Mighty Lady Fixes the Manor</x:v>
      </x:c>
      <x:c r="G69" s="12" t="str">
        <x:v>Supplement_DOCX</x:v>
      </x:c>
      <x:c r="H69" s="12" t="str">
        <x:v>https://m.mydramawave.com/free-app/share/episode/tf1wrp7iuh?audiotrack_language=en-US&amp;from=share&amp;language=en&amp;share_user_id=12106360319&amp;subtitle_language=en-US</x:v>
      </x:c>
    </x:row>
    <x:row r="70">
      <x:c r="A70" s="12" t="str">
        <x:v>SRC069</x:v>
      </x:c>
      <x:c r="B70" s="12" t="str">
        <x:v>m.mydramawave.com</x:v>
      </x:c>
      <x:c r="C70" s="12" t="str">
        <x:v>Official platform</x:v>
      </x:c>
      <x:c r="D70" s="12" t="str">
        <x:v>A</x:v>
      </x:c>
      <x:c r="E70" s="20" t="n">
        <x:v>2</x:v>
      </x:c>
      <x:c r="F70" s="12" t="str">
        <x:v>The Mafia King Wants Me</x:v>
      </x:c>
      <x:c r="G70" s="12" t="str">
        <x:v>Supplement_DOCX</x:v>
      </x:c>
      <x:c r="H70" s="12" t="str">
        <x:v>https://m.mydramawave.com/series/TkkrOs4966/HUyL2FLKPQ?from_source=sm</x:v>
      </x:c>
    </x:row>
    <x:row r="71">
      <x:c r="A71" s="12" t="str">
        <x:v>SRC070</x:v>
      </x:c>
      <x:c r="B71" s="12" t="str">
        <x:v>m.mydramawave.com</x:v>
      </x:c>
      <x:c r="C71" s="12" t="str">
        <x:v>Official platform</x:v>
      </x:c>
      <x:c r="D71" s="12" t="str">
        <x:v>A</x:v>
      </x:c>
      <x:c r="E71" s="20" t="n">
        <x:v>1</x:v>
      </x:c>
      <x:c r="F71" s="12" t="str">
        <x:v>Heartbreak to CEO’s Bride</x:v>
      </x:c>
      <x:c r="G71" s="12" t="str">
        <x:v>Supplement_DOCX</x:v>
      </x:c>
      <x:c r="H71" s="12" t="str">
        <x:v>https://m.mydramawave.com/series/Yt6rQYBU8n/fT10jfTFHZ?from_page=library&amp;return_to=%2Fmy-list</x:v>
      </x:c>
    </x:row>
    <x:row r="72">
      <x:c r="A72" s="12" t="str">
        <x:v>SRC071</x:v>
      </x:c>
      <x:c r="B72" s="12" t="str">
        <x:v>m.mydramawave.com</x:v>
      </x:c>
      <x:c r="C72" s="12" t="str">
        <x:v>Official platform</x:v>
      </x:c>
      <x:c r="D72" s="12" t="str">
        <x:v>A</x:v>
      </x:c>
      <x:c r="E72" s="20" t="n">
        <x:v>1</x:v>
      </x:c>
      <x:c r="F72" s="12" t="str">
        <x:v>Found You Again, My Healing Angel</x:v>
      </x:c>
      <x:c r="G72" s="12" t="str">
        <x:v>Supplement_DOCX</x:v>
      </x:c>
      <x:c r="H72" s="12" t="str">
        <x:v>https://m.mydramawave.com/series/fbYGFywu7f/2g3QCxwnct?from_page=library&amp;return_to=%2Fmy-list</x:v>
      </x:c>
    </x:row>
    <x:row r="73">
      <x:c r="A73" s="12" t="str">
        <x:v>SRC072</x:v>
      </x:c>
      <x:c r="B73" s="12" t="str">
        <x:v>m.mydramawave.com</x:v>
      </x:c>
      <x:c r="C73" s="12" t="str">
        <x:v>Official platform</x:v>
      </x:c>
      <x:c r="D73" s="12" t="str">
        <x:v>A</x:v>
      </x:c>
      <x:c r="E73" s="20" t="n">
        <x:v>1</x:v>
      </x:c>
      <x:c r="F73" s="12" t="str">
        <x:v>Grandma Destroyed Her Heir</x:v>
      </x:c>
      <x:c r="G73" s="12" t="str">
        <x:v>Supplement_DOCX</x:v>
      </x:c>
      <x:c r="H73" s="12" t="str">
        <x:v>https://m.mydramawave.com/series/vnsIgyVWmw/oYefCR7q6A?from_source=sm</x:v>
      </x:c>
    </x:row>
    <x:row r="74">
      <x:c r="A74" s="12" t="str">
        <x:v>SRC073</x:v>
      </x:c>
      <x:c r="B74" s="12" t="str">
        <x:v>m.mydramawave.com</x:v>
      </x:c>
      <x:c r="C74" s="12" t="str">
        <x:v>Official platform</x:v>
      </x:c>
      <x:c r="D74" s="12" t="str">
        <x:v>A</x:v>
      </x:c>
      <x:c r="E74" s="20" t="n">
        <x:v>2</x:v>
      </x:c>
      <x:c r="F74" s="12" t="str">
        <x:v>Wrong Sperm, Right Love</x:v>
      </x:c>
      <x:c r="G74" s="12" t="str">
        <x:v>Supplement_DOCX</x:v>
      </x:c>
      <x:c r="H74" s="12" t="str">
        <x:v>https://m.mydramawave.com/series/wy5NhpK965/EmL3D8DA5T?from_page=home&amp;return_to=%2F</x:v>
      </x:c>
    </x:row>
    <x:row r="75">
      <x:c r="A75" s="12" t="str">
        <x:v>SRC074</x:v>
      </x:c>
      <x:c r="B75" s="12" t="str">
        <x:v>m.mydramawave.com</x:v>
      </x:c>
      <x:c r="C75" s="12" t="str">
        <x:v>Official platform</x:v>
      </x:c>
      <x:c r="D75" s="12" t="str">
        <x:v>A</x:v>
      </x:c>
      <x:c r="E75" s="20" t="n">
        <x:v>2</x:v>
      </x:c>
      <x:c r="F75" s="12" t="str">
        <x:v>Daddy, Can You Hear Me Cry?; Mommy, Why Does Daddy Hate Me</x:v>
      </x:c>
      <x:c r="G75" s="12" t="str">
        <x:v>Supplement_DOCX</x:v>
      </x:c>
      <x:c r="H75" s="12" t="str">
        <x:v>https://m.mydramawave.com/series/zL0Gm3Qwvt/HoBoGlcdux</x:v>
      </x:c>
    </x:row>
    <x:row r="76">
      <x:c r="A76" s="12" t="str">
        <x:v>SRC075</x:v>
      </x:c>
      <x:c r="B76" s="12" t="str">
        <x:v>m.mydramawave.com</x:v>
      </x:c>
      <x:c r="C76" s="12" t="str">
        <x:v>Official platform</x:v>
      </x:c>
      <x:c r="D76" s="12" t="str">
        <x:v>A</x:v>
      </x:c>
      <x:c r="E76" s="20" t="n">
        <x:v>2</x:v>
      </x:c>
      <x:c r="F76" s="12" t="str">
        <x:v>Attribute Seizer: Undead Overlord; The Mighty Lady Fixes the Manor</x:v>
      </x:c>
      <x:c r="G76" s="12" t="str">
        <x:v>Supplement_DOCX</x:v>
      </x:c>
      <x:c r="H76" s="12" t="str">
        <x:v>https://m.mydramawave.com/share/episode/V68OHym7Su?from=share&amp;language=en&amp;share_user_id=33300623871</x:v>
      </x:c>
    </x:row>
    <x:row r="77">
      <x:c r="A77" s="12" t="str">
        <x:v>SRC076</x:v>
      </x:c>
      <x:c r="B77" s="12" t="str">
        <x:v>m.youtube.com</x:v>
      </x:c>
      <x:c r="C77" s="12" t="str">
        <x:v>Official/clip video metric proxy</x:v>
      </x:c>
      <x:c r="D77" s="12" t="str">
        <x:v>B</x:v>
      </x:c>
      <x:c r="E77" s="20" t="n">
        <x:v>2</x:v>
      </x:c>
      <x:c r="F77" s="12" t="str">
        <x:v>Stop Heartbreak, She's the One</x:v>
      </x:c>
      <x:c r="G77" s="12" t="str">
        <x:v>Base_XLSX</x:v>
      </x:c>
      <x:c r="H77" s="12" t="str">
        <x:v>https://m.youtube.com/playlist?list=PLy83vl2yZ2mX5PejguK3RmYnwLWozwlDw</x:v>
      </x:c>
    </x:row>
    <x:row r="78">
      <x:c r="A78" s="12" t="str">
        <x:v>SRC077</x:v>
      </x:c>
      <x:c r="B78" s="12" t="str">
        <x:v>melolo.com</x:v>
      </x:c>
      <x:c r="C78" s="12" t="str">
        <x:v>Secondary guide/fandom/SEO</x:v>
      </x:c>
      <x:c r="D78" s="12" t="str">
        <x:v>D</x:v>
      </x:c>
      <x:c r="E78" s="20" t="n">
        <x:v>5</x:v>
      </x:c>
      <x:c r="F78" s="12" t="str">
        <x:v>When the Moon Hides Crown</x:v>
      </x:c>
      <x:c r="G78" s="12" t="str">
        <x:v>Base_XLSX</x:v>
      </x:c>
      <x:c r="H78" s="12" t="str">
        <x:v>https://melolo.com/dramas/when-the-moon-hides-crown</x:v>
      </x:c>
    </x:row>
    <x:row r="79">
      <x:c r="A79" s="12" t="str">
        <x:v>SRC078</x:v>
      </x:c>
      <x:c r="B79" s="12" t="str">
        <x:v>melolo.com</x:v>
      </x:c>
      <x:c r="C79" s="12" t="str">
        <x:v>Secondary guide/fandom/SEO</x:v>
      </x:c>
      <x:c r="D79" s="12" t="str">
        <x:v>D</x:v>
      </x:c>
      <x:c r="E79" s="20" t="n">
        <x:v>7</x:v>
      </x:c>
      <x:c r="F79" s="12" t="str">
        <x:v>AI Micro-Dramas Go Global cluster; When the Moon Hides Crown; DramaWave dubbed-drama catalog; AI Micro-Drama Global Expansion cluster</x:v>
      </x:c>
      <x:c r="G79" s="12" t="str">
        <x:v>Base_XLSX</x:v>
      </x:c>
      <x:c r="H79" s="12" t="str">
        <x:v>https://melolo.com/guides/ai-micro-dramas-global-expansion-melolo-southeast-asia</x:v>
      </x:c>
    </x:row>
    <x:row r="80">
      <x:c r="A80" s="12" t="str">
        <x:v>SRC079</x:v>
      </x:c>
      <x:c r="B80" s="12" t="str">
        <x:v>melolo.com</x:v>
      </x:c>
      <x:c r="C80" s="12" t="str">
        <x:v>Secondary guide/fandom/SEO</x:v>
      </x:c>
      <x:c r="D80" s="12" t="str">
        <x:v>D</x:v>
      </x:c>
      <x:c r="E80" s="20" t="n">
        <x:v>1</x:v>
      </x:c>
      <x:c r="F80" s="12" t="str">
        <x:v>Contract Marriage with the Arms Tycoon</x:v>
      </x:c>
      <x:c r="G80" s="12" t="str">
        <x:v>Base_XLSX</x:v>
      </x:c>
      <x:c r="H80" s="12" t="str">
        <x:v>https://melolo.com/guides/contract-marriage-with-the-arms-tycoon</x:v>
      </x:c>
    </x:row>
    <x:row r="81">
      <x:c r="A81" s="12" t="str">
        <x:v>SRC080</x:v>
      </x:c>
      <x:c r="B81" s="12" t="str">
        <x:v>melolo.com</x:v>
      </x:c>
      <x:c r="C81" s="12" t="str">
        <x:v>Secondary guide/fandom/SEO</x:v>
      </x:c>
      <x:c r="D81" s="12" t="str">
        <x:v>D</x:v>
      </x:c>
      <x:c r="E81" s="20" t="n">
        <x:v>4</x:v>
      </x:c>
      <x:c r="F81" s="12" t="str">
        <x:v>Delta Force Queen Returns; The Mafia Boss's Regret</x:v>
      </x:c>
      <x:c r="G81" s="12" t="str">
        <x:v>Base_XLSX</x:v>
      </x:c>
      <x:c r="H81" s="12" t="str">
        <x:v>https://melolo.com/guides/delta-force-queen-returns-drama</x:v>
      </x:c>
    </x:row>
    <x:row r="82">
      <x:c r="A82" s="12" t="str">
        <x:v>SRC081</x:v>
      </x:c>
      <x:c r="B82" s="12" t="str">
        <x:v>melolo.com</x:v>
      </x:c>
      <x:c r="C82" s="12" t="str">
        <x:v>Secondary guide/fandom/SEO</x:v>
      </x:c>
      <x:c r="D82" s="12" t="str">
        <x:v>D</x:v>
      </x:c>
      <x:c r="E82" s="20" t="n">
        <x:v>2</x:v>
      </x:c>
      <x:c r="F82" s="12" t="str">
        <x:v>Marked by My Alpha Stepbrother</x:v>
      </x:c>
      <x:c r="G82" s="12" t="str">
        <x:v>Base_XLSX</x:v>
      </x:c>
      <x:c r="H82" s="12" t="str">
        <x:v>https://melolo.com/guides/marked-by-my-alpha-stepbrother</x:v>
      </x:c>
    </x:row>
    <x:row r="83">
      <x:c r="A83" s="12" t="str">
        <x:v>SRC082</x:v>
      </x:c>
      <x:c r="B83" s="12" t="str">
        <x:v>melolo.com</x:v>
      </x:c>
      <x:c r="C83" s="12" t="str">
        <x:v>Secondary guide/fandom/SEO</x:v>
      </x:c>
      <x:c r="D83" s="12" t="str">
        <x:v>D</x:v>
      </x:c>
      <x:c r="E83" s="20" t="n">
        <x:v>4</x:v>
      </x:c>
      <x:c r="F83" s="12" t="str">
        <x:v>Never Break A Queen’s Heart; Never Break a Queen’s Heart</x:v>
      </x:c>
      <x:c r="G83" s="12" t="str">
        <x:v>Base_XLSX</x:v>
      </x:c>
      <x:c r="H83" s="12" t="str">
        <x:v>https://melolo.com/guides/never-break-a-queens-heart</x:v>
      </x:c>
    </x:row>
    <x:row r="84">
      <x:c r="A84" s="12" t="str">
        <x:v>SRC083</x:v>
      </x:c>
      <x:c r="B84" s="12" t="str">
        <x:v>melolo.com</x:v>
      </x:c>
      <x:c r="C84" s="12" t="str">
        <x:v>Secondary guide/fandom/SEO</x:v>
      </x:c>
      <x:c r="D84" s="12" t="str">
        <x:v>D</x:v>
      </x:c>
      <x:c r="E84" s="20" t="n">
        <x:v>1</x:v>
      </x:c>
      <x:c r="F84" s="12" t="str">
        <x:v>One Move God Mode</x:v>
      </x:c>
      <x:c r="G84" s="12" t="str">
        <x:v>Base+Supplement_DOCX</x:v>
      </x:c>
      <x:c r="H84" s="12" t="str">
        <x:v>https://melolo.com/guides/one-move-god-mode</x:v>
      </x:c>
    </x:row>
    <x:row r="85">
      <x:c r="A85" s="12" t="str">
        <x:v>SRC084</x:v>
      </x:c>
      <x:c r="B85" s="12" t="str">
        <x:v>melolo.com</x:v>
      </x:c>
      <x:c r="C85" s="12" t="str">
        <x:v>Secondary guide/fandom/SEO</x:v>
      </x:c>
      <x:c r="D85" s="12" t="str">
        <x:v>D</x:v>
      </x:c>
      <x:c r="E85" s="20" t="n">
        <x:v>4</x:v>
      </x:c>
      <x:c r="F85" s="12" t="str">
        <x:v>Pucked by My Hockey Rival</x:v>
      </x:c>
      <x:c r="G85" s="12" t="str">
        <x:v>Base_XLSX</x:v>
      </x:c>
      <x:c r="H85" s="12" t="str">
        <x:v>https://melolo.com/guides/pucked-by-my-hockey-rival</x:v>
      </x:c>
    </x:row>
    <x:row r="86">
      <x:c r="A86" s="12" t="str">
        <x:v>SRC085</x:v>
      </x:c>
      <x:c r="B86" s="12" t="str">
        <x:v>melolo.com</x:v>
      </x:c>
      <x:c r="C86" s="12" t="str">
        <x:v>Secondary guide/fandom/SEO</x:v>
      </x:c>
      <x:c r="D86" s="12" t="str">
        <x:v>D</x:v>
      </x:c>
      <x:c r="E86" s="20" t="n">
        <x:v>1</x:v>
      </x:c>
      <x:c r="F86" s="12" t="str">
        <x:v>Taming My Enemy Hockey Captain</x:v>
      </x:c>
      <x:c r="G86" s="12" t="str">
        <x:v>Base_XLSX</x:v>
      </x:c>
      <x:c r="H86" s="12" t="str">
        <x:v>https://melolo.com/guides/taming-my-enemy-hockey-captain</x:v>
      </x:c>
    </x:row>
    <x:row r="87">
      <x:c r="A87" s="12" t="str">
        <x:v>SRC086</x:v>
      </x:c>
      <x:c r="B87" s="12" t="str">
        <x:v>melolo.com</x:v>
      </x:c>
      <x:c r="C87" s="12" t="str">
        <x:v>Secondary guide/fandom/SEO</x:v>
      </x:c>
      <x:c r="D87" s="12" t="str">
        <x:v>D</x:v>
      </x:c>
      <x:c r="E87" s="20" t="n">
        <x:v>3</x:v>
      </x:c>
      <x:c r="F87" s="12" t="str">
        <x:v>Traded to the Shadow Heir</x:v>
      </x:c>
      <x:c r="G87" s="12" t="str">
        <x:v>Base_XLSX</x:v>
      </x:c>
      <x:c r="H87" s="12" t="str">
        <x:v>https://melolo.com/guides/traded-to-the-shadow-heir</x:v>
      </x:c>
    </x:row>
    <x:row r="88">
      <x:c r="A88" s="12" t="str">
        <x:v>SRC087</x:v>
      </x:c>
      <x:c r="B88" s="12" t="str">
        <x:v>music.youtube.com</x:v>
      </x:c>
      <x:c r="C88" s="12" t="str">
        <x:v>Official/clip video metric proxy</x:v>
      </x:c>
      <x:c r="D88" s="12" t="str">
        <x:v>B</x:v>
      </x:c>
      <x:c r="E88" s="20" t="n">
        <x:v>3</x:v>
      </x:c>
      <x:c r="F88" s="12" t="str">
        <x:v>DramaWave YouTube Shorts catalog; DramaWave YouTube/Reels catalog build; DramaWave app/channel library</x:v>
      </x:c>
      <x:c r="G88" s="12" t="str">
        <x:v>Base_XLSX</x:v>
      </x:c>
      <x:c r="H88" s="12" t="str">
        <x:v>https://music.youtube.com/channel/UCJvJ4D-ES4Ca51aUCvtZVuw</x:v>
      </x:c>
    </x:row>
    <x:row r="89">
      <x:c r="A89" s="12" t="str">
        <x:v>SRC088</x:v>
      </x:c>
      <x:c r="B89" s="12" t="str">
        <x:v>netshort.com</x:v>
      </x:c>
      <x:c r="C89" s="12" t="str">
        <x:v>Official platform</x:v>
      </x:c>
      <x:c r="D89" s="12" t="str">
        <x:v>A</x:v>
      </x:c>
      <x:c r="E89" s="20" t="n">
        <x:v>4</x:v>
      </x:c>
      <x:c r="F89" s="12" t="str">
        <x:v>Divorced &amp; Unmasked: The AI Queen Rules; The Discarded Ace; The 5-time rejected luna</x:v>
      </x:c>
      <x:c r="G89" s="12" t="str">
        <x:v>Supplement_DOCX</x:v>
      </x:c>
      <x:c r="H89" s="12" t="str">
        <x:v>https://netshort.com/blog/the-5-time-rejected-luna-watch-online-rejected-love-and-no-turning-back-2049047965972037633</x:v>
      </x:c>
    </x:row>
    <x:row r="90">
      <x:c r="A90" s="12" t="str">
        <x:v>SRC089</x:v>
      </x:c>
      <x:c r="B90" s="12" t="str">
        <x:v>netshort.com</x:v>
      </x:c>
      <x:c r="C90" s="12" t="str">
        <x:v>Official platform</x:v>
      </x:c>
      <x:c r="D90" s="12" t="str">
        <x:v>A</x:v>
      </x:c>
      <x:c r="E90" s="20" t="n">
        <x:v>1</x:v>
      </x:c>
      <x:c r="F90" s="12" t="str">
        <x:v>Baby Tycoon &amp; Her Reward System</x:v>
      </x:c>
      <x:c r="G90" s="12" t="str">
        <x:v>Supplement_DOCX</x:v>
      </x:c>
      <x:c r="H90" s="12" t="str">
        <x:v>https://netshort.com/episode/baby-tycoon-her-reward-system-1970771520843513857</x:v>
      </x:c>
    </x:row>
    <x:row r="91">
      <x:c r="A91" s="12" t="str">
        <x:v>SRC090</x:v>
      </x:c>
      <x:c r="B91" s="12" t="str">
        <x:v>netshort.com</x:v>
      </x:c>
      <x:c r="C91" s="12" t="str">
        <x:v>Official platform</x:v>
      </x:c>
      <x:c r="D91" s="12" t="str">
        <x:v>A</x:v>
      </x:c>
      <x:c r="E91" s="20" t="n">
        <x:v>4</x:v>
      </x:c>
      <x:c r="F91" s="12" t="str">
        <x:v>Divorced &amp; Unmasked: The AI Queen Rules; The Discarded Ace; The 5-time rejected luna</x:v>
      </x:c>
      <x:c r="G91" s="12" t="str">
        <x:v>Supplement_DOCX</x:v>
      </x:c>
      <x:c r="H91" s="12" t="str">
        <x:v>https://netshort.com/episode/the-5-time-rejected-luna-2048604611983441922</x:v>
      </x:c>
    </x:row>
    <x:row r="92">
      <x:c r="A92" s="12" t="str">
        <x:v>SRC091</x:v>
      </x:c>
      <x:c r="B92" s="12" t="str">
        <x:v>netshort.com</x:v>
      </x:c>
      <x:c r="C92" s="12" t="str">
        <x:v>Official platform</x:v>
      </x:c>
      <x:c r="D92" s="12" t="str">
        <x:v>A</x:v>
      </x:c>
      <x:c r="E92" s="20" t="n">
        <x:v>3</x:v>
      </x:c>
      <x:c r="F92" s="12" t="str">
        <x:v>After My Slumber, Gods Repent; Divorced &amp; Unmasked: The AI Queen Rules; The 5-time rejected luna</x:v>
      </x:c>
      <x:c r="G92" s="12" t="str">
        <x:v>Supplement_DOCX</x:v>
      </x:c>
      <x:c r="H92" s="12" t="str">
        <x:v>https://netshort.com/full-episodes/after-my-slumber-gods-repent-2052962354697601026</x:v>
      </x:c>
    </x:row>
    <x:row r="93">
      <x:c r="A93" s="12" t="str">
        <x:v>SRC092</x:v>
      </x:c>
      <x:c r="B93" s="12" t="str">
        <x:v>netshort.com</x:v>
      </x:c>
      <x:c r="C93" s="12" t="str">
        <x:v>Official platform</x:v>
      </x:c>
      <x:c r="D93" s="12" t="str">
        <x:v>A</x:v>
      </x:c>
      <x:c r="E93" s="20" t="n">
        <x:v>1</x:v>
      </x:c>
      <x:c r="F93" s="12" t="str">
        <x:v>Betrayed? I Rule the Ocean!</x:v>
      </x:c>
      <x:c r="G93" s="12" t="str">
        <x:v>Base_XLSX</x:v>
      </x:c>
      <x:c r="H93" s="12" t="str">
        <x:v>https://netshort.com/full-episodes/betrayed-i-rule-the-ocean-2051569628911501313</x:v>
      </x:c>
    </x:row>
    <x:row r="94">
      <x:c r="A94" s="12" t="str">
        <x:v>SRC093</x:v>
      </x:c>
      <x:c r="B94" s="12" t="str">
        <x:v>netshort.com</x:v>
      </x:c>
      <x:c r="C94" s="12" t="str">
        <x:v>Official platform</x:v>
      </x:c>
      <x:c r="D94" s="12" t="str">
        <x:v>A</x:v>
      </x:c>
      <x:c r="E94" s="20" t="n">
        <x:v>1</x:v>
      </x:c>
      <x:c r="F94" s="12" t="str">
        <x:v>Limitless Evolution: The Spider Scourge</x:v>
      </x:c>
      <x:c r="G94" s="12" t="str">
        <x:v>Base_XLSX</x:v>
      </x:c>
      <x:c r="H94" s="12" t="str">
        <x:v>https://netshort.com/full-episodes/limitless-evolution-the-spider-scourge-2049733219590340610</x:v>
      </x:c>
    </x:row>
    <x:row r="95">
      <x:c r="A95" s="12" t="str">
        <x:v>SRC094</x:v>
      </x:c>
      <x:c r="B95" s="12" t="str">
        <x:v>netshort.com</x:v>
      </x:c>
      <x:c r="C95" s="12" t="str">
        <x:v>Official platform</x:v>
      </x:c>
      <x:c r="D95" s="12" t="str">
        <x:v>A</x:v>
      </x:c>
      <x:c r="E95" s="20" t="n">
        <x:v>1</x:v>
      </x:c>
      <x:c r="F95" s="12" t="str">
        <x:v>One Move God Mode</x:v>
      </x:c>
      <x:c r="G95" s="12" t="str">
        <x:v>Supplement_DOCX</x:v>
      </x:c>
      <x:c r="H95" s="12" t="str">
        <x:v>https://netshort.com/full-episodes/one-move-god-mode-2039262008318099458</x:v>
      </x:c>
    </x:row>
    <x:row r="96">
      <x:c r="A96" s="12" t="str">
        <x:v>SRC095</x:v>
      </x:c>
      <x:c r="B96" s="12" t="str">
        <x:v>netshort.com</x:v>
      </x:c>
      <x:c r="C96" s="12" t="str">
        <x:v>Official platform</x:v>
      </x:c>
      <x:c r="D96" s="12" t="str">
        <x:v>A</x:v>
      </x:c>
      <x:c r="E96" s="20" t="n">
        <x:v>3</x:v>
      </x:c>
      <x:c r="F96" s="12" t="str">
        <x:v>說好的乙遊戀愛呢？執事怎麼全員黑化了！; One Move God Mode; The Discarded Ace</x:v>
      </x:c>
      <x:c r="G96" s="12" t="str">
        <x:v>Base+Supplement_DOCX; Supplement_DOCX</x:v>
      </x:c>
      <x:c r="H96" s="12" t="str">
        <x:v>https://netshort.com/full-episodes/the-discarded-ace-2041056545067761666</x:v>
      </x:c>
    </x:row>
    <x:row r="97">
      <x:c r="A97" s="12" t="str">
        <x:v>SRC096</x:v>
      </x:c>
      <x:c r="B97" s="12" t="str">
        <x:v>netshort.com</x:v>
      </x:c>
      <x:c r="C97" s="12" t="str">
        <x:v>Official platform</x:v>
      </x:c>
      <x:c r="D97" s="12" t="str">
        <x:v>A</x:v>
      </x:c>
      <x:c r="E97" s="20" t="n">
        <x:v>1</x:v>
      </x:c>
      <x:c r="F97" s="12" t="str">
        <x:v>Limitless Evolution: The Spider Scourge</x:v>
      </x:c>
      <x:c r="G97" s="12" t="str">
        <x:v>Base_XLSX</x:v>
      </x:c>
      <x:c r="H97" s="12" t="str">
        <x:v>https://netshort.com/hotseries</x:v>
      </x:c>
    </x:row>
    <x:row r="98">
      <x:c r="A98" s="12" t="str">
        <x:v>SRC097</x:v>
      </x:c>
      <x:c r="B98" s="12" t="str">
        <x:v>netshort.com</x:v>
      </x:c>
      <x:c r="C98" s="12" t="str">
        <x:v>Official platform</x:v>
      </x:c>
      <x:c r="D98" s="12" t="str">
        <x:v>A</x:v>
      </x:c>
      <x:c r="E98" s="20" t="n">
        <x:v>1</x:v>
      </x:c>
      <x:c r="F98" s="12" t="str">
        <x:v>결혼 후에야 시작된 열애</x:v>
      </x:c>
      <x:c r="G98" s="12" t="str">
        <x:v>Base_XLSX</x:v>
      </x:c>
      <x:c r="H98" s="12" t="str">
        <x:v>https://netshort.com/hotseries/%EA%B2%B0%ED%98%BC-%ED%9B%84%EC%97%90%EC%95%BC-%EC%8B%9C%EC%9E%91%EB%90%9C-%EC%97%B4%EC%95%A0-new-2022479059980632066</x:v>
      </x:c>
    </x:row>
    <x:row r="99">
      <x:c r="A99" s="12" t="str">
        <x:v>SRC098</x:v>
      </x:c>
      <x:c r="B99" s="12" t="str">
        <x:v>netshort.com</x:v>
      </x:c>
      <x:c r="C99" s="12" t="str">
        <x:v>Official platform</x:v>
      </x:c>
      <x:c r="D99" s="12" t="str">
        <x:v>A</x:v>
      </x:c>
      <x:c r="E99" s="20" t="n">
        <x:v>1</x:v>
      </x:c>
      <x:c r="F99" s="12" t="str">
        <x:v>그녀는 톱배우야!</x:v>
      </x:c>
      <x:c r="G99" s="12" t="str">
        <x:v>Base_XLSX</x:v>
      </x:c>
      <x:c r="H99" s="12" t="str">
        <x:v>https://netshort.com/hotseries/%EA%B7%B8%EB%85%80%EB%8A%94-%ED%86%B1%EB%B0%B0%EC%9A%B0%EC%95%BC-new-2021331739467624450</x:v>
      </x:c>
    </x:row>
    <x:row r="100">
      <x:c r="A100" s="12" t="str">
        <x:v>SRC099</x:v>
      </x:c>
      <x:c r="B100" s="12" t="str">
        <x:v>netshort.com</x:v>
      </x:c>
      <x:c r="C100" s="12" t="str">
        <x:v>Official platform</x:v>
      </x:c>
      <x:c r="D100" s="12" t="str">
        <x:v>A</x:v>
      </x:c>
      <x:c r="E100" s="20" t="n">
        <x:v>1</x:v>
      </x:c>
      <x:c r="F100" s="12" t="str">
        <x:v>불꽃 속의 귀환</x:v>
      </x:c>
      <x:c r="G100" s="12" t="str">
        <x:v>Base_XLSX</x:v>
      </x:c>
      <x:c r="H100" s="12" t="str">
        <x:v>https://netshort.com/hotseries/%EB%B6%88%EA%BD%83-%EC%86%8D%EC%9D%98-%EA%B7%80%ED%99%98-new-2023908915188711425</x:v>
      </x:c>
    </x:row>
    <x:row r="101">
      <x:c r="A101" s="12" t="str">
        <x:v>SRC100</x:v>
      </x:c>
      <x:c r="B101" s="12" t="str">
        <x:v>netshort.com</x:v>
      </x:c>
      <x:c r="C101" s="12" t="str">
        <x:v>Official platform</x:v>
      </x:c>
      <x:c r="D101" s="12" t="str">
        <x:v>A</x:v>
      </x:c>
      <x:c r="E101" s="20" t="n">
        <x:v>1</x:v>
      </x:c>
      <x:c r="F101" s="12" t="str">
        <x:v>월급쟁이 말고 재벌집 가정부</x:v>
      </x:c>
      <x:c r="G101" s="12" t="str">
        <x:v>Base_XLSX</x:v>
      </x:c>
      <x:c r="H101" s="12" t="str">
        <x:v>https://netshort.com/hotseries/%EC%9B%94%EA%B8%89%EC%9F%81%EC%9D%B4-%EB%A7%90%EA%B3%A0-%EC%9E%AC%EB%B2%8C%EC%A7%91-%EA%B0%80%EC%A0%95%EB%B6%80-new-2023848507740991490</x:v>
      </x:c>
    </x:row>
    <x:row r="102">
      <x:c r="A102" s="12" t="str">
        <x:v>SRC101</x:v>
      </x:c>
      <x:c r="B102" s="12" t="str">
        <x:v>netshort.com</x:v>
      </x:c>
      <x:c r="C102" s="12" t="str">
        <x:v>Official platform</x:v>
      </x:c>
      <x:c r="D102" s="12" t="str">
        <x:v>A</x:v>
      </x:c>
      <x:c r="E102" s="20" t="n">
        <x:v>1</x:v>
      </x:c>
      <x:c r="F102" s="12" t="str">
        <x:v>10 Days to Win His Majesty, or Die</x:v>
      </x:c>
      <x:c r="G102" s="12" t="str">
        <x:v>Base_XLSX</x:v>
      </x:c>
      <x:c r="H102" s="12" t="str">
        <x:v>https://netshort.com/hotseries/10-days-to-win-his-majesty-or-die-new-1992116996939284481</x:v>
      </x:c>
    </x:row>
    <x:row r="103">
      <x:c r="A103" s="12" t="str">
        <x:v>SRC102</x:v>
      </x:c>
      <x:c r="B103" s="12" t="str">
        <x:v>netshort.com</x:v>
      </x:c>
      <x:c r="C103" s="12" t="str">
        <x:v>Official platform</x:v>
      </x:c>
      <x:c r="D103" s="12" t="str">
        <x:v>A</x:v>
      </x:c>
      <x:c r="E103" s="20" t="n">
        <x:v>1</x:v>
      </x:c>
      <x:c r="F103" s="12" t="str">
        <x:v>1000 Years in a Loop!</x:v>
      </x:c>
      <x:c r="G103" s="12" t="str">
        <x:v>Base_XLSX</x:v>
      </x:c>
      <x:c r="H103" s="12" t="str">
        <x:v>https://netshort.com/hotseries/1000-years-in-a-loop-new-2035599141670649858</x:v>
      </x:c>
    </x:row>
    <x:row r="104">
      <x:c r="A104" s="12" t="str">
        <x:v>SRC103</x:v>
      </x:c>
      <x:c r="B104" s="12" t="str">
        <x:v>netshort.com</x:v>
      </x:c>
      <x:c r="C104" s="12" t="str">
        <x:v>Official platform</x:v>
      </x:c>
      <x:c r="D104" s="12" t="str">
        <x:v>A</x:v>
      </x:c>
      <x:c r="E104" s="20" t="n">
        <x:v>1</x:v>
      </x:c>
      <x:c r="F104" s="12" t="str">
        <x:v>Behave Yourself, Princess! (Dubbed)</x:v>
      </x:c>
      <x:c r="G104" s="12" t="str">
        <x:v>Base_XLSX</x:v>
      </x:c>
      <x:c r="H104" s="12" t="str">
        <x:v>https://netshort.com/hotseries/behave-yourself-princess-dubbed-new-1982009366707179521</x:v>
      </x:c>
    </x:row>
    <x:row r="105">
      <x:c r="A105" s="12" t="str">
        <x:v>SRC104</x:v>
      </x:c>
      <x:c r="B105" s="12" t="str">
        <x:v>netshort.com</x:v>
      </x:c>
      <x:c r="C105" s="12" t="str">
        <x:v>Official platform</x:v>
      </x:c>
      <x:c r="D105" s="12" t="str">
        <x:v>A</x:v>
      </x:c>
      <x:c r="E105" s="20" t="n">
        <x:v>1</x:v>
      </x:c>
      <x:c r="F105" s="12" t="str">
        <x:v>Betrayed? I Rule the Ocean!</x:v>
      </x:c>
      <x:c r="G105" s="12" t="str">
        <x:v>Base_XLSX</x:v>
      </x:c>
      <x:c r="H105" s="12" t="str">
        <x:v>https://netshort.com/hotseries/betrayed-i-rule-the-ocean-2051569628911501313</x:v>
      </x:c>
    </x:row>
    <x:row r="106">
      <x:c r="A106" s="12" t="str">
        <x:v>SRC105</x:v>
      </x:c>
      <x:c r="B106" s="12" t="str">
        <x:v>netshort.com</x:v>
      </x:c>
      <x:c r="C106" s="12" t="str">
        <x:v>Official platform</x:v>
      </x:c>
      <x:c r="D106" s="12" t="str">
        <x:v>A</x:v>
      </x:c>
      <x:c r="E106" s="20" t="n">
        <x:v>1</x:v>
      </x:c>
      <x:c r="F106" s="12" t="str">
        <x:v>Biting into Sweet Love</x:v>
      </x:c>
      <x:c r="G106" s="12" t="str">
        <x:v>Base_XLSX</x:v>
      </x:c>
      <x:c r="H106" s="12" t="str">
        <x:v>https://netshort.com/hotseries/biting-into-sweet-love-new-2043747419382218753</x:v>
      </x:c>
    </x:row>
    <x:row r="107">
      <x:c r="A107" s="12" t="str">
        <x:v>SRC106</x:v>
      </x:c>
      <x:c r="B107" s="12" t="str">
        <x:v>netshort.com</x:v>
      </x:c>
      <x:c r="C107" s="12" t="str">
        <x:v>Official platform</x:v>
      </x:c>
      <x:c r="D107" s="12" t="str">
        <x:v>A</x:v>
      </x:c>
      <x:c r="E107" s="20" t="n">
        <x:v>1</x:v>
      </x:c>
      <x:c r="F107" s="12" t="str">
        <x:v>Bye, Husband! My Protection’s Over</x:v>
      </x:c>
      <x:c r="G107" s="12" t="str">
        <x:v>Base_XLSX</x:v>
      </x:c>
      <x:c r="H107" s="12" t="str">
        <x:v>https://netshort.com/hotseries/bye-husband-my-protections-over-new-1991620516111613953</x:v>
      </x:c>
    </x:row>
    <x:row r="108">
      <x:c r="A108" s="12" t="str">
        <x:v>SRC107</x:v>
      </x:c>
      <x:c r="B108" s="12" t="str">
        <x:v>netshort.com</x:v>
      </x:c>
      <x:c r="C108" s="12" t="str">
        <x:v>Official platform</x:v>
      </x:c>
      <x:c r="D108" s="12" t="str">
        <x:v>A</x:v>
      </x:c>
      <x:c r="E108" s="20" t="n">
        <x:v>1</x:v>
      </x:c>
      <x:c r="F108" s="12" t="str">
        <x:v>Bye Mr. Ice</x:v>
      </x:c>
      <x:c r="G108" s="12" t="str">
        <x:v>Base_XLSX</x:v>
      </x:c>
      <x:c r="H108" s="12" t="str">
        <x:v>https://netshort.com/hotseries/bye-mr-ice-new-2011690922208985090</x:v>
      </x:c>
    </x:row>
    <x:row r="109">
      <x:c r="A109" s="12" t="str">
        <x:v>SRC108</x:v>
      </x:c>
      <x:c r="B109" s="12" t="str">
        <x:v>netshort.com</x:v>
      </x:c>
      <x:c r="C109" s="12" t="str">
        <x:v>Official platform</x:v>
      </x:c>
      <x:c r="D109" s="12" t="str">
        <x:v>A</x:v>
      </x:c>
      <x:c r="E109" s="20" t="n">
        <x:v>1</x:v>
      </x:c>
      <x:c r="F109" s="12" t="str">
        <x:v>CEO's No-No Clause</x:v>
      </x:c>
      <x:c r="G109" s="12" t="str">
        <x:v>Base_XLSX</x:v>
      </x:c>
      <x:c r="H109" s="12" t="str">
        <x:v>https://netshort.com/hotseries/ceos-no-no-clause-new-1973614640404664321</x:v>
      </x:c>
    </x:row>
    <x:row r="110">
      <x:c r="A110" s="12" t="str">
        <x:v>SRC109</x:v>
      </x:c>
      <x:c r="B110" s="12" t="str">
        <x:v>netshort.com</x:v>
      </x:c>
      <x:c r="C110" s="12" t="str">
        <x:v>Official platform</x:v>
      </x:c>
      <x:c r="D110" s="12" t="str">
        <x:v>A</x:v>
      </x:c>
      <x:c r="E110" s="20" t="n">
        <x:v>1</x:v>
      </x:c>
      <x:c r="F110" s="12" t="str">
        <x:v>Cheating Death</x:v>
      </x:c>
      <x:c r="G110" s="12" t="str">
        <x:v>Base_XLSX</x:v>
      </x:c>
      <x:c r="H110" s="12" t="str">
        <x:v>https://netshort.com/hotseries/cheating-death-new-1970729154324680706</x:v>
      </x:c>
    </x:row>
    <x:row r="111">
      <x:c r="A111" s="12" t="str">
        <x:v>SRC110</x:v>
      </x:c>
      <x:c r="B111" s="12" t="str">
        <x:v>netshort.com</x:v>
      </x:c>
      <x:c r="C111" s="12" t="str">
        <x:v>Official platform</x:v>
      </x:c>
      <x:c r="D111" s="12" t="str">
        <x:v>A</x:v>
      </x:c>
      <x:c r="E111" s="20" t="n">
        <x:v>1</x:v>
      </x:c>
      <x:c r="F111" s="12" t="str">
        <x:v>Crippled? No, I’m the Grandmaster!</x:v>
      </x:c>
      <x:c r="G111" s="12" t="str">
        <x:v>Base_XLSX</x:v>
      </x:c>
      <x:c r="H111" s="12" t="str">
        <x:v>https://netshort.com/hotseries/crippled-no-im-the-grandmaster-new-1984556604662091777</x:v>
      </x:c>
    </x:row>
    <x:row r="112">
      <x:c r="A112" s="12" t="str">
        <x:v>SRC111</x:v>
      </x:c>
      <x:c r="B112" s="12" t="str">
        <x:v>netshort.com</x:v>
      </x:c>
      <x:c r="C112" s="12" t="str">
        <x:v>Official platform</x:v>
      </x:c>
      <x:c r="D112" s="12" t="str">
        <x:v>A</x:v>
      </x:c>
      <x:c r="E112" s="20" t="n">
        <x:v>1</x:v>
      </x:c>
      <x:c r="F112" s="12" t="str">
        <x:v>Dumped Me Pregnant? Pay Up Mr Crazy</x:v>
      </x:c>
      <x:c r="G112" s="12" t="str">
        <x:v>Base_XLSX</x:v>
      </x:c>
      <x:c r="H112" s="12" t="str">
        <x:v>https://netshort.com/hotseries/dumped-me-pregnant-pay-up-mr-crazy-new-1963451447168299010</x:v>
      </x:c>
    </x:row>
    <x:row r="113">
      <x:c r="A113" s="12" t="str">
        <x:v>SRC112</x:v>
      </x:c>
      <x:c r="B113" s="12" t="str">
        <x:v>netshort.com</x:v>
      </x:c>
      <x:c r="C113" s="12" t="str">
        <x:v>Official platform</x:v>
      </x:c>
      <x:c r="D113" s="12" t="str">
        <x:v>A</x:v>
      </x:c>
      <x:c r="E113" s="20" t="n">
        <x:v>1</x:v>
      </x:c>
      <x:c r="F113" s="12" t="str">
        <x:v>From Victim to Mrs. CEO</x:v>
      </x:c>
      <x:c r="G113" s="12" t="str">
        <x:v>Base_XLSX</x:v>
      </x:c>
      <x:c r="H113" s="12" t="str">
        <x:v>https://netshort.com/hotseries/from-victim-to-mrs-ceo-new-2046845379923910658</x:v>
      </x:c>
    </x:row>
    <x:row r="114">
      <x:c r="A114" s="12" t="str">
        <x:v>SRC113</x:v>
      </x:c>
      <x:c r="B114" s="12" t="str">
        <x:v>netshort.com</x:v>
      </x:c>
      <x:c r="C114" s="12" t="str">
        <x:v>Official platform</x:v>
      </x:c>
      <x:c r="D114" s="12" t="str">
        <x:v>A</x:v>
      </x:c>
      <x:c r="E114" s="20" t="n">
        <x:v>1</x:v>
      </x:c>
      <x:c r="F114" s="12" t="str">
        <x:v>Go Dutch? My Mom Strikes Back</x:v>
      </x:c>
      <x:c r="G114" s="12" t="str">
        <x:v>Base_XLSX</x:v>
      </x:c>
      <x:c r="H114" s="12" t="str">
        <x:v>https://netshort.com/hotseries/go-dutch-my-mom-strikes-back-new-2034265239228051457</x:v>
      </x:c>
    </x:row>
    <x:row r="115">
      <x:c r="A115" s="12" t="str">
        <x:v>SRC114</x:v>
      </x:c>
      <x:c r="B115" s="12" t="str">
        <x:v>netshort.com</x:v>
      </x:c>
      <x:c r="C115" s="12" t="str">
        <x:v>Official platform</x:v>
      </x:c>
      <x:c r="D115" s="12" t="str">
        <x:v>A</x:v>
      </x:c>
      <x:c r="E115" s="20" t="n">
        <x:v>1</x:v>
      </x:c>
      <x:c r="F115" s="12" t="str">
        <x:v>How to Tame a Tiny Tycoon</x:v>
      </x:c>
      <x:c r="G115" s="12" t="str">
        <x:v>Base_XLSX</x:v>
      </x:c>
      <x:c r="H115" s="12" t="str">
        <x:v>https://netshort.com/hotseries/how-to-tame-a-tiny-tycoon-new-1973251655561543682</x:v>
      </x:c>
    </x:row>
    <x:row r="116">
      <x:c r="A116" s="12" t="str">
        <x:v>SRC115</x:v>
      </x:c>
      <x:c r="B116" s="12" t="str">
        <x:v>netshort.com</x:v>
      </x:c>
      <x:c r="C116" s="12" t="str">
        <x:v>Official platform</x:v>
      </x:c>
      <x:c r="D116" s="12" t="str">
        <x:v>A</x:v>
      </x:c>
      <x:c r="E116" s="20" t="n">
        <x:v>1</x:v>
      </x:c>
      <x:c r="F116" s="12" t="str">
        <x:v>I Bet All I Have on Him</x:v>
      </x:c>
      <x:c r="G116" s="12" t="str">
        <x:v>Base_XLSX</x:v>
      </x:c>
      <x:c r="H116" s="12" t="str">
        <x:v>https://netshort.com/hotseries/i-bet-all-i-have-on-him-new-2053840201245995009</x:v>
      </x:c>
    </x:row>
    <x:row r="117">
      <x:c r="A117" s="12" t="str">
        <x:v>SRC116</x:v>
      </x:c>
      <x:c r="B117" s="12" t="str">
        <x:v>netshort.com</x:v>
      </x:c>
      <x:c r="C117" s="12" t="str">
        <x:v>Official platform</x:v>
      </x:c>
      <x:c r="D117" s="12" t="str">
        <x:v>A</x:v>
      </x:c>
      <x:c r="E117" s="20" t="n">
        <x:v>1</x:v>
      </x:c>
      <x:c r="F117" s="12" t="str">
        <x:v>Loved Him Once. Never Again</x:v>
      </x:c>
      <x:c r="G117" s="12" t="str">
        <x:v>Base_XLSX</x:v>
      </x:c>
      <x:c r="H117" s="12" t="str">
        <x:v>https://netshort.com/hotseries/loved-him-once-never-again-new-1995383149094936577</x:v>
      </x:c>
    </x:row>
    <x:row r="118">
      <x:c r="A118" s="12" t="str">
        <x:v>SRC117</x:v>
      </x:c>
      <x:c r="B118" s="12" t="str">
        <x:v>netshort.com</x:v>
      </x:c>
      <x:c r="C118" s="12" t="str">
        <x:v>Official platform</x:v>
      </x:c>
      <x:c r="D118" s="12" t="str">
        <x:v>A</x:v>
      </x:c>
      <x:c r="E118" s="20" t="n">
        <x:v>1</x:v>
      </x:c>
      <x:c r="F118" s="12" t="str">
        <x:v>Lv.1 Legend? Sweet</x:v>
      </x:c>
      <x:c r="G118" s="12" t="str">
        <x:v>Base_XLSX</x:v>
      </x:c>
      <x:c r="H118" s="12" t="str">
        <x:v>https://netshort.com/hotseries/lv1-legend-sweet-new-2040041912966475778</x:v>
      </x:c>
    </x:row>
    <x:row r="119">
      <x:c r="A119" s="12" t="str">
        <x:v>SRC118</x:v>
      </x:c>
      <x:c r="B119" s="12" t="str">
        <x:v>netshort.com</x:v>
      </x:c>
      <x:c r="C119" s="12" t="str">
        <x:v>Official platform</x:v>
      </x:c>
      <x:c r="D119" s="12" t="str">
        <x:v>A</x:v>
      </x:c>
      <x:c r="E119" s="20" t="n">
        <x:v>2</x:v>
      </x:c>
      <x:c r="F119" s="12" t="str">
        <x:v>Married to a Hidden King; 재벌의 위장 결혼</x:v>
      </x:c>
      <x:c r="G119" s="12" t="str">
        <x:v>Base_XLSX</x:v>
      </x:c>
      <x:c r="H119" s="12" t="str">
        <x:v>https://netshort.com/hotseries/married-to-a-hidden-king-new-1966343145251192834</x:v>
      </x:c>
    </x:row>
    <x:row r="120">
      <x:c r="A120" s="12" t="str">
        <x:v>SRC119</x:v>
      </x:c>
      <x:c r="B120" s="12" t="str">
        <x:v>netshort.com</x:v>
      </x:c>
      <x:c r="C120" s="12" t="str">
        <x:v>Official platform</x:v>
      </x:c>
      <x:c r="D120" s="12" t="str">
        <x:v>A</x:v>
      </x:c>
      <x:c r="E120" s="20" t="n">
        <x:v>1</x:v>
      </x:c>
      <x:c r="F120" s="12" t="str">
        <x:v>Marry Me? No, Killed Me!</x:v>
      </x:c>
      <x:c r="G120" s="12" t="str">
        <x:v>Base_XLSX</x:v>
      </x:c>
      <x:c r="H120" s="12" t="str">
        <x:v>https://netshort.com/hotseries/marry-me-no-killed-me-new-2033916179442683905</x:v>
      </x:c>
    </x:row>
    <x:row r="121">
      <x:c r="A121" s="12" t="str">
        <x:v>SRC120</x:v>
      </x:c>
      <x:c r="B121" s="12" t="str">
        <x:v>netshort.com</x:v>
      </x:c>
      <x:c r="C121" s="12" t="str">
        <x:v>Official platform</x:v>
      </x:c>
      <x:c r="D121" s="12" t="str">
        <x:v>A</x:v>
      </x:c>
      <x:c r="E121" s="20" t="n">
        <x:v>1</x:v>
      </x:c>
      <x:c r="F121" s="12" t="str">
        <x:v>Marry My Father-in-Law for Revenge</x:v>
      </x:c>
      <x:c r="G121" s="12" t="str">
        <x:v>Base_XLSX</x:v>
      </x:c>
      <x:c r="H121" s="12" t="str">
        <x:v>https://netshort.com/hotseries/marry-my-father-in-law-for-revenge-new-2010535829325971457</x:v>
      </x:c>
    </x:row>
    <x:row r="122">
      <x:c r="A122" s="12" t="str">
        <x:v>SRC121</x:v>
      </x:c>
      <x:c r="B122" s="12" t="str">
        <x:v>netshort.com</x:v>
      </x:c>
      <x:c r="C122" s="12" t="str">
        <x:v>Official platform</x:v>
      </x:c>
      <x:c r="D122" s="12" t="str">
        <x:v>A</x:v>
      </x:c>
      <x:c r="E122" s="20" t="n">
        <x:v>1</x:v>
      </x:c>
      <x:c r="F122" s="12" t="str">
        <x:v>Mommy's Billionaire Blessing</x:v>
      </x:c>
      <x:c r="G122" s="12" t="str">
        <x:v>Base_XLSX</x:v>
      </x:c>
      <x:c r="H122" s="12" t="str">
        <x:v>https://netshort.com/hotseries/mommys-billionaire-blessing-new-1935722649839874050</x:v>
      </x:c>
    </x:row>
    <x:row r="123">
      <x:c r="A123" s="12" t="str">
        <x:v>SRC122</x:v>
      </x:c>
      <x:c r="B123" s="12" t="str">
        <x:v>netshort.com</x:v>
      </x:c>
      <x:c r="C123" s="12" t="str">
        <x:v>Official platform</x:v>
      </x:c>
      <x:c r="D123" s="12" t="str">
        <x:v>A</x:v>
      </x:c>
      <x:c r="E123" s="20" t="n">
        <x:v>1</x:v>
      </x:c>
      <x:c r="F123" s="12" t="str">
        <x:v>My Brother-in-Law's Secret Obsession</x:v>
      </x:c>
      <x:c r="G123" s="12" t="str">
        <x:v>Base_XLSX</x:v>
      </x:c>
      <x:c r="H123" s="12" t="str">
        <x:v>https://netshort.com/hotseries/my-brother-in-laws-secret-obsession-new-1992117056297074690</x:v>
      </x:c>
    </x:row>
    <x:row r="124">
      <x:c r="A124" s="12" t="str">
        <x:v>SRC123</x:v>
      </x:c>
      <x:c r="B124" s="12" t="str">
        <x:v>netshort.com</x:v>
      </x:c>
      <x:c r="C124" s="12" t="str">
        <x:v>Official platform</x:v>
      </x:c>
      <x:c r="D124" s="12" t="str">
        <x:v>A</x:v>
      </x:c>
      <x:c r="E124" s="20" t="n">
        <x:v>1</x:v>
      </x:c>
      <x:c r="F124" s="12" t="str">
        <x:v>My Family Framed Me. Time For Payback!</x:v>
      </x:c>
      <x:c r="G124" s="12" t="str">
        <x:v>Base_XLSX</x:v>
      </x:c>
      <x:c r="H124" s="12" t="str">
        <x:v>https://netshort.com/hotseries/my-family-framed-me-time-for-payback-new-2013453362656903170</x:v>
      </x:c>
    </x:row>
    <x:row r="125">
      <x:c r="A125" s="12" t="str">
        <x:v>SRC124</x:v>
      </x:c>
      <x:c r="B125" s="12" t="str">
        <x:v>netshort.com</x:v>
      </x:c>
      <x:c r="C125" s="12" t="str">
        <x:v>Official platform</x:v>
      </x:c>
      <x:c r="D125" s="12" t="str">
        <x:v>A</x:v>
      </x:c>
      <x:c r="E125" s="20" t="n">
        <x:v>1</x:v>
      </x:c>
      <x:c r="F125" s="12" t="str">
        <x:v>My Sister’s Fiancé, My Mafia Husband</x:v>
      </x:c>
      <x:c r="G125" s="12" t="str">
        <x:v>Base_XLSX</x:v>
      </x:c>
      <x:c r="H125" s="12" t="str">
        <x:v>https://netshort.com/hotseries/my-sisters-fianc%C3%A9-my-mafia-husband-new-1991617973403836418</x:v>
      </x:c>
    </x:row>
    <x:row r="126">
      <x:c r="A126" s="12" t="str">
        <x:v>SRC125</x:v>
      </x:c>
      <x:c r="B126" s="12" t="str">
        <x:v>netshort.com</x:v>
      </x:c>
      <x:c r="C126" s="12" t="str">
        <x:v>Official platform</x:v>
      </x:c>
      <x:c r="D126" s="12" t="str">
        <x:v>A</x:v>
      </x:c>
      <x:c r="E126" s="20" t="n">
        <x:v>1</x:v>
      </x:c>
      <x:c r="F126" s="12" t="str">
        <x:v>My Wife Cheated, So I Became a God</x:v>
      </x:c>
      <x:c r="G126" s="12" t="str">
        <x:v>Base_XLSX</x:v>
      </x:c>
      <x:c r="H126" s="12" t="str">
        <x:v>https://netshort.com/hotseries/my-wife-cheated-so-i-became-a-god-new-3-2004112691517865986</x:v>
      </x:c>
    </x:row>
    <x:row r="127">
      <x:c r="A127" s="12" t="str">
        <x:v>SRC126</x:v>
      </x:c>
      <x:c r="B127" s="12" t="str">
        <x:v>netshort.com</x:v>
      </x:c>
      <x:c r="C127" s="12" t="str">
        <x:v>Official platform</x:v>
      </x:c>
      <x:c r="D127" s="12" t="str">
        <x:v>A</x:v>
      </x:c>
      <x:c r="E127" s="20" t="n">
        <x:v>1</x:v>
      </x:c>
      <x:c r="F127" s="12" t="str">
        <x:v>No More Love, Just Trillions</x:v>
      </x:c>
      <x:c r="G127" s="12" t="str">
        <x:v>Base_XLSX</x:v>
      </x:c>
      <x:c r="H127" s="12" t="str">
        <x:v>https://netshort.com/hotseries/no-more-love-just-trillions-new-2048371127192350722</x:v>
      </x:c>
    </x:row>
    <x:row r="128">
      <x:c r="A128" s="12" t="str">
        <x:v>SRC127</x:v>
      </x:c>
      <x:c r="B128" s="12" t="str">
        <x:v>netshort.com</x:v>
      </x:c>
      <x:c r="C128" s="12" t="str">
        <x:v>Official platform</x:v>
      </x:c>
      <x:c r="D128" s="12" t="str">
        <x:v>A</x:v>
      </x:c>
      <x:c r="E128" s="20" t="n">
        <x:v>1</x:v>
      </x:c>
      <x:c r="F128" s="12" t="str">
        <x:v>OMG! I Become a Demon’s Husband</x:v>
      </x:c>
      <x:c r="G128" s="12" t="str">
        <x:v>Base_XLSX</x:v>
      </x:c>
      <x:c r="H128" s="12" t="str">
        <x:v>https://netshort.com/hotseries/omg-i-become-a-demons-husband-new-2023984599467356161</x:v>
      </x:c>
    </x:row>
    <x:row r="129">
      <x:c r="A129" s="12" t="str">
        <x:v>SRC128</x:v>
      </x:c>
      <x:c r="B129" s="12" t="str">
        <x:v>netshort.com</x:v>
      </x:c>
      <x:c r="C129" s="12" t="str">
        <x:v>Official platform</x:v>
      </x:c>
      <x:c r="D129" s="12" t="str">
        <x:v>A</x:v>
      </x:c>
      <x:c r="E129" s="20" t="n">
        <x:v>1</x:v>
      </x:c>
      <x:c r="F129" s="12" t="str">
        <x:v>One Move God Mode</x:v>
      </x:c>
      <x:c r="G129" s="12" t="str">
        <x:v>Base+Supplement_DOCX</x:v>
      </x:c>
      <x:c r="H129" s="12" t="str">
        <x:v>https://netshort.com/hotseries/one-move-god-mode-new-2034157133397753858</x:v>
      </x:c>
    </x:row>
    <x:row r="130">
      <x:c r="A130" s="12" t="str">
        <x:v>SRC129</x:v>
      </x:c>
      <x:c r="B130" s="12" t="str">
        <x:v>netshort.com</x:v>
      </x:c>
      <x:c r="C130" s="12" t="str">
        <x:v>Official platform</x:v>
      </x:c>
      <x:c r="D130" s="12" t="str">
        <x:v>A</x:v>
      </x:c>
      <x:c r="E130" s="20" t="n">
        <x:v>1</x:v>
      </x:c>
      <x:c r="F130" s="12" t="str">
        <x:v>Oops, My Toyboy is a Heir</x:v>
      </x:c>
      <x:c r="G130" s="12" t="str">
        <x:v>Base_XLSX</x:v>
      </x:c>
      <x:c r="H130" s="12" t="str">
        <x:v>https://netshort.com/hotseries/oops-my-toyboy-is-a-heir-new-1955299117348085762</x:v>
      </x:c>
    </x:row>
    <x:row r="131">
      <x:c r="A131" s="12" t="str">
        <x:v>SRC130</x:v>
      </x:c>
      <x:c r="B131" s="12" t="str">
        <x:v>netshort.com</x:v>
      </x:c>
      <x:c r="C131" s="12" t="str">
        <x:v>Official platform</x:v>
      </x:c>
      <x:c r="D131" s="12" t="str">
        <x:v>A</x:v>
      </x:c>
      <x:c r="E131" s="20" t="n">
        <x:v>1</x:v>
      </x:c>
      <x:c r="F131" s="12" t="str">
        <x:v>Queen of the Vine</x:v>
      </x:c>
      <x:c r="G131" s="12" t="str">
        <x:v>Base_XLSX</x:v>
      </x:c>
      <x:c r="H131" s="12" t="str">
        <x:v>https://netshort.com/hotseries/queen-of-the-vine-new-1950887525930582018</x:v>
      </x:c>
    </x:row>
    <x:row r="132">
      <x:c r="A132" s="12" t="str">
        <x:v>SRC131</x:v>
      </x:c>
      <x:c r="B132" s="12" t="str">
        <x:v>netshort.com</x:v>
      </x:c>
      <x:c r="C132" s="12" t="str">
        <x:v>Official platform</x:v>
      </x:c>
      <x:c r="D132" s="12" t="str">
        <x:v>A</x:v>
      </x:c>
      <x:c r="E132" s="20" t="n">
        <x:v>1</x:v>
      </x:c>
      <x:c r="F132" s="12" t="str">
        <x:v>Rise From the Ashes</x:v>
      </x:c>
      <x:c r="G132" s="12" t="str">
        <x:v>Base_XLSX</x:v>
      </x:c>
      <x:c r="H132" s="12" t="str">
        <x:v>https://netshort.com/hotseries/rise-from-the-ashes-new-1944006025992032258</x:v>
      </x:c>
    </x:row>
    <x:row r="133">
      <x:c r="A133" s="12" t="str">
        <x:v>SRC132</x:v>
      </x:c>
      <x:c r="B133" s="12" t="str">
        <x:v>netshort.com</x:v>
      </x:c>
      <x:c r="C133" s="12" t="str">
        <x:v>Official platform</x:v>
      </x:c>
      <x:c r="D133" s="12" t="str">
        <x:v>A</x:v>
      </x:c>
      <x:c r="E133" s="20" t="n">
        <x:v>1</x:v>
      </x:c>
      <x:c r="F133" s="12" t="str">
        <x:v>Substitute Bride: A Twin's Revenge</x:v>
      </x:c>
      <x:c r="G133" s="12" t="str">
        <x:v>Base_XLSX</x:v>
      </x:c>
      <x:c r="H133" s="12" t="str">
        <x:v>https://netshort.com/hotseries/substitute-bride-a-twins-revenge-new-2042318371889209345</x:v>
      </x:c>
    </x:row>
    <x:row r="134">
      <x:c r="A134" s="12" t="str">
        <x:v>SRC133</x:v>
      </x:c>
      <x:c r="B134" s="12" t="str">
        <x:v>netshort.com</x:v>
      </x:c>
      <x:c r="C134" s="12" t="str">
        <x:v>Official platform</x:v>
      </x:c>
      <x:c r="D134" s="12" t="str">
        <x:v>A</x:v>
      </x:c>
      <x:c r="E134" s="20" t="n">
        <x:v>1</x:v>
      </x:c>
      <x:c r="F134" s="12" t="str">
        <x:v>The Godmaker’s Return</x:v>
      </x:c>
      <x:c r="G134" s="12" t="str">
        <x:v>Base_XLSX</x:v>
      </x:c>
      <x:c r="H134" s="12" t="str">
        <x:v>https://netshort.com/hotseries/the-godmakers-return-new-2033845776191621121</x:v>
      </x:c>
    </x:row>
    <x:row r="135">
      <x:c r="A135" s="12" t="str">
        <x:v>SRC134</x:v>
      </x:c>
      <x:c r="B135" s="12" t="str">
        <x:v>netshort.com</x:v>
      </x:c>
      <x:c r="C135" s="12" t="str">
        <x:v>Official platform</x:v>
      </x:c>
      <x:c r="D135" s="12" t="str">
        <x:v>A</x:v>
      </x:c>
      <x:c r="E135" s="20" t="n">
        <x:v>1</x:v>
      </x:c>
      <x:c r="F135" s="12" t="str">
        <x:v>Till We Meet Again</x:v>
      </x:c>
      <x:c r="G135" s="12" t="str">
        <x:v>Base_XLSX</x:v>
      </x:c>
      <x:c r="H135" s="12" t="str">
        <x:v>https://netshort.com/hotseries/till-we-meet-again-new-2053840254111975425</x:v>
      </x:c>
    </x:row>
    <x:row r="136">
      <x:c r="A136" s="12" t="str">
        <x:v>SRC135</x:v>
      </x:c>
      <x:c r="B136" s="12" t="str">
        <x:v>netshort.com</x:v>
      </x:c>
      <x:c r="C136" s="12" t="str">
        <x:v>Official platform</x:v>
      </x:c>
      <x:c r="D136" s="12" t="str">
        <x:v>A</x:v>
      </x:c>
      <x:c r="E136" s="20" t="n">
        <x:v>1</x:v>
      </x:c>
      <x:c r="F136" s="12" t="str">
        <x:v>Too Late to Come Back (Dubbed)</x:v>
      </x:c>
      <x:c r="G136" s="12" t="str">
        <x:v>Base_XLSX</x:v>
      </x:c>
      <x:c r="H136" s="12" t="str">
        <x:v>https://netshort.com/hotseries/too-late-to-come-back-dubbed-new-1981209389333307394</x:v>
      </x:c>
    </x:row>
    <x:row r="137">
      <x:c r="A137" s="12" t="str">
        <x:v>SRC136</x:v>
      </x:c>
      <x:c r="B137" s="12" t="str">
        <x:v>netshort.com</x:v>
      </x:c>
      <x:c r="C137" s="12" t="str">
        <x:v>Official platform</x:v>
      </x:c>
      <x:c r="D137" s="12" t="str">
        <x:v>A</x:v>
      </x:c>
      <x:c r="E137" s="20" t="n">
        <x:v>1</x:v>
      </x:c>
      <x:c r="F137" s="12" t="str">
        <x:v>Until I Forget You</x:v>
      </x:c>
      <x:c r="G137" s="12" t="str">
        <x:v>Base_XLSX</x:v>
      </x:c>
      <x:c r="H137" s="12" t="str">
        <x:v>https://netshort.com/hotseries/until-i-forget-you-new-1951253989045284866</x:v>
      </x:c>
    </x:row>
    <x:row r="138">
      <x:c r="A138" s="12" t="str">
        <x:v>SRC137</x:v>
      </x:c>
      <x:c r="B138" s="12" t="str">
        <x:v>netshort.com</x:v>
      </x:c>
      <x:c r="C138" s="12" t="str">
        <x:v>Official platform</x:v>
      </x:c>
      <x:c r="D138" s="12" t="str">
        <x:v>A</x:v>
      </x:c>
      <x:c r="E138" s="20" t="n">
        <x:v>1</x:v>
      </x:c>
      <x:c r="F138" s="12" t="str">
        <x:v>When Love Runs Out</x:v>
      </x:c>
      <x:c r="G138" s="12" t="str">
        <x:v>Base_XLSX</x:v>
      </x:c>
      <x:c r="H138" s="12" t="str">
        <x:v>https://netshort.com/hotseries/when-love-runs-out-new-1934211717313429506</x:v>
      </x:c>
    </x:row>
    <x:row r="139">
      <x:c r="A139" s="12" t="str">
        <x:v>SRC138</x:v>
      </x:c>
      <x:c r="B139" s="12" t="str">
        <x:v>netshort.com</x:v>
      </x:c>
      <x:c r="C139" s="12" t="str">
        <x:v>Official platform</x:v>
      </x:c>
      <x:c r="D139" s="12" t="str">
        <x:v>A</x:v>
      </x:c>
      <x:c r="E139" s="20" t="n">
        <x:v>1</x:v>
      </x:c>
      <x:c r="F139" s="12" t="str">
        <x:v>You Loved A Lie, Mr. Idiot!</x:v>
      </x:c>
      <x:c r="G139" s="12" t="str">
        <x:v>Base_XLSX</x:v>
      </x:c>
      <x:c r="H139" s="12" t="str">
        <x:v>https://netshort.com/hotseries/you-loved-a-lie-mr-idiot-new-2053039202098233345</x:v>
      </x:c>
    </x:row>
    <x:row r="140">
      <x:c r="A140" s="12" t="str">
        <x:v>SRC139</x:v>
      </x:c>
      <x:c r="B140" s="12" t="str">
        <x:v>play.google.com</x:v>
      </x:c>
      <x:c r="C140" s="12" t="str">
        <x:v>App store/platform metadata</x:v>
      </x:c>
      <x:c r="D140" s="12" t="str">
        <x:v>B</x:v>
      </x:c>
      <x:c r="E140" s="20" t="n">
        <x:v>3</x:v>
      </x:c>
      <x:c r="F140" s="12" t="str">
        <x:v>After My Slumber, Gods Repent; Divorced &amp; Unmasked: The AI Queen Rules; The 5-time rejected luna</x:v>
      </x:c>
      <x:c r="G140" s="12" t="str">
        <x:v>Supplement_DOCX</x:v>
      </x:c>
      <x:c r="H140" s="12" t="str">
        <x:v>https://play.google.com/store/apps/details?hl=en&amp;id=com.netshort.abroad</x:v>
      </x:c>
    </x:row>
    <x:row r="141">
      <x:c r="A141" s="12" t="str">
        <x:v>SRC140</x:v>
      </x:c>
      <x:c r="B141" s="12" t="str">
        <x:v>reddit.com</x:v>
      </x:c>
      <x:c r="C141" s="12" t="str">
        <x:v>Community demand signal</x:v>
      </x:c>
      <x:c r="D141" s="12" t="str">
        <x:v>C</x:v>
      </x:c>
      <x:c r="E141" s="20" t="n">
        <x:v>3</x:v>
      </x:c>
      <x:c r="F141" s="12" t="str">
        <x:v>Traded to the Shadow Heir</x:v>
      </x:c>
      <x:c r="G141" s="12" t="str">
        <x:v>Base_XLSX</x:v>
      </x:c>
      <x:c r="H141" s="12" t="str">
        <x:v>https://www.reddit.com/r/Askshortdramas/comments/1s3zlcs/traded_to_the_shadow_heir_short_drama/</x:v>
      </x:c>
    </x:row>
    <x:row r="142">
      <x:c r="A142" s="12" t="str">
        <x:v>SRC141</x:v>
      </x:c>
      <x:c r="B142" s="12" t="str">
        <x:v>reddit.com</x:v>
      </x:c>
      <x:c r="C142" s="12" t="str">
        <x:v>Community demand signal</x:v>
      </x:c>
      <x:c r="D142" s="12" t="str">
        <x:v>C</x:v>
      </x:c>
      <x:c r="E142" s="20" t="n">
        <x:v>2</x:v>
      </x:c>
      <x:c r="F142" s="12" t="str">
        <x:v>His Love Was A Lie</x:v>
      </x:c>
      <x:c r="G142" s="12" t="str">
        <x:v>Base+Supplement_DOCX; Supplement_DOCX</x:v>
      </x:c>
      <x:c r="H142" s="12" t="str">
        <x:v>https://www.reddit.com/r/ReelShorts/comments/1pcu1kb/his_love_was_a_lie/</x:v>
      </x:c>
    </x:row>
    <x:row r="143">
      <x:c r="A143" s="12" t="str">
        <x:v>SRC142</x:v>
      </x:c>
      <x:c r="B143" s="12" t="str">
        <x:v>reddit.com</x:v>
      </x:c>
      <x:c r="C143" s="12" t="str">
        <x:v>Community demand signal</x:v>
      </x:c>
      <x:c r="D143" s="12" t="str">
        <x:v>C</x:v>
      </x:c>
      <x:c r="E143" s="20" t="n">
        <x:v>1</x:v>
      </x:c>
      <x:c r="F143" s="12" t="str">
        <x:v>Love Under Fire</x:v>
      </x:c>
      <x:c r="G143" s="12" t="str">
        <x:v>Base+Supplement_DOCX</x:v>
      </x:c>
      <x:c r="H143" s="12" t="str">
        <x:v>https://www.reddit.com/r/ReelShorts/comments/1ss4460/love_under_fire/</x:v>
      </x:c>
    </x:row>
    <x:row r="144">
      <x:c r="A144" s="12" t="str">
        <x:v>SRC143</x:v>
      </x:c>
      <x:c r="B144" s="12" t="str">
        <x:v>reddit.com</x:v>
      </x:c>
      <x:c r="C144" s="12" t="str">
        <x:v>Community demand signal</x:v>
      </x:c>
      <x:c r="D144" s="12" t="str">
        <x:v>C</x:v>
      </x:c>
      <x:c r="E144" s="20" t="n">
        <x:v>2</x:v>
      </x:c>
      <x:c r="F144" s="12" t="str">
        <x:v>Faking It with the Hockey Captain</x:v>
      </x:c>
      <x:c r="G144" s="12" t="str">
        <x:v>Base+Supplement_DOCX; Supplement_DOCX</x:v>
      </x:c>
      <x:c r="H144" s="12" t="str">
        <x:v>https://www.reddit.com/r/ReelShorts/comments/1t9r7nh/faking_it_with_the_hockey_captain/</x:v>
      </x:c>
    </x:row>
    <x:row r="145">
      <x:c r="A145" s="12" t="str">
        <x:v>SRC144</x:v>
      </x:c>
      <x:c r="B145" s="12" t="str">
        <x:v>reddit.com</x:v>
      </x:c>
      <x:c r="C145" s="12" t="str">
        <x:v>Community demand signal</x:v>
      </x:c>
      <x:c r="D145" s="12" t="str">
        <x:v>C</x:v>
      </x:c>
      <x:c r="E145" s="20" t="n">
        <x:v>2</x:v>
      </x:c>
      <x:c r="F145" s="12" t="str">
        <x:v>My New Daddy is a Five-Star General; Too Late, Alphas</x:v>
      </x:c>
      <x:c r="G145" s="12" t="str">
        <x:v>Supplement_DOCX</x:v>
      </x:c>
      <x:c r="H145" s="12" t="str">
        <x:v>https://www.reddit.com/r/Vertical_Dramas/comments/1r61bj0/too_late_alphas/</x:v>
      </x:c>
    </x:row>
    <x:row r="146">
      <x:c r="A146" s="12" t="str">
        <x:v>SRC145</x:v>
      </x:c>
      <x:c r="B146" s="12" t="str">
        <x:v>reddit.com</x:v>
      </x:c>
      <x:c r="C146" s="12" t="str">
        <x:v>Community demand signal</x:v>
      </x:c>
      <x:c r="D146" s="12" t="str">
        <x:v>C</x:v>
      </x:c>
      <x:c r="E146" s="20" t="n">
        <x:v>1</x:v>
      </x:c>
      <x:c r="F146" s="12" t="str">
        <x:v>Straight Until He Kissed Me</x:v>
      </x:c>
      <x:c r="G146" s="12" t="str">
        <x:v>Supplement_DOCX</x:v>
      </x:c>
      <x:c r="H146" s="12" t="str">
        <x:v>https://www.reddit.com/r/boyslove/comments/1ndlxhl/straight_until_he_kissed_me_goodshort/</x:v>
      </x:c>
    </x:row>
    <x:row r="147">
      <x:c r="A147" s="12" t="str">
        <x:v>SRC146</x:v>
      </x:c>
      <x:c r="B147" s="12" t="str">
        <x:v>reddit.com</x:v>
      </x:c>
      <x:c r="C147" s="12" t="str">
        <x:v>Community demand signal</x:v>
      </x:c>
      <x:c r="D147" s="12" t="str">
        <x:v>C</x:v>
      </x:c>
      <x:c r="E147" s="20" t="n">
        <x:v>1</x:v>
      </x:c>
      <x:c r="F147" s="12" t="str">
        <x:v>I Wish It Were You</x:v>
      </x:c>
      <x:c r="G147" s="12" t="str">
        <x:v>Base_XLSX</x:v>
      </x:c>
      <x:c r="H147" s="12" t="str">
        <x:v>https://www.reddit.com/r/dramabox/comments/1bz3b3j/i_wish_it_were_you_dramabox/</x:v>
      </x:c>
    </x:row>
    <x:row r="148">
      <x:c r="A148" s="12" t="str">
        <x:v>SRC147</x:v>
      </x:c>
      <x:c r="B148" s="12" t="str">
        <x:v>reddit.com</x:v>
      </x:c>
      <x:c r="C148" s="12" t="str">
        <x:v>Community demand signal</x:v>
      </x:c>
      <x:c r="D148" s="12" t="str">
        <x:v>C</x:v>
      </x:c>
      <x:c r="E148" s="20" t="n">
        <x:v>1</x:v>
      </x:c>
      <x:c r="F148" s="12" t="str">
        <x:v>Ms. CEO’s Baby Daddy Is the Merchant of Death</x:v>
      </x:c>
      <x:c r="G148" s="12" t="str">
        <x:v>Supplement_DOCX</x:v>
      </x:c>
      <x:c r="H148" s="12" t="str">
        <x:v>https://www.reddit.com/user/Latter_Rutabaga_9087/</x:v>
      </x:c>
    </x:row>
    <x:row r="149">
      <x:c r="A149" s="12" t="str">
        <x:v>SRC148</x:v>
      </x:c>
      <x:c r="B149" s="12" t="str">
        <x:v>reddit.com</x:v>
      </x:c>
      <x:c r="C149" s="12" t="str">
        <x:v>Community demand signal</x:v>
      </x:c>
      <x:c r="D149" s="12" t="str">
        <x:v>C</x:v>
      </x:c>
      <x:c r="E149" s="20" t="n">
        <x:v>1</x:v>
      </x:c>
      <x:c r="F149" s="12" t="str">
        <x:v>Taming My Bullies</x:v>
      </x:c>
      <x:c r="G149" s="12" t="str">
        <x:v>Supplement_DOCX</x:v>
      </x:c>
      <x:c r="H149" s="12" t="str">
        <x:v>https://www.reddit.com/user/ReelShort-CMS/</x:v>
      </x:c>
    </x:row>
    <x:row r="150">
      <x:c r="A150" s="12" t="str">
        <x:v>SRC149</x:v>
      </x:c>
      <x:c r="B150" s="12" t="str">
        <x:v>reelshort.com</x:v>
      </x:c>
      <x:c r="C150" s="12" t="str">
        <x:v>Official platform</x:v>
      </x:c>
      <x:c r="D150" s="12" t="str">
        <x:v>A</x:v>
      </x:c>
      <x:c r="E150" s="20" t="n">
        <x:v>2</x:v>
      </x:c>
      <x:c r="F150" s="12" t="str">
        <x:v>Silicon God Strikes Back; My Secret Lover Is His Brother</x:v>
      </x:c>
      <x:c r="G150" s="12" t="str">
        <x:v>Supplement_DOCX</x:v>
      </x:c>
      <x:c r="H150" s="12" t="str">
        <x:v>https://www.reelshort.com/episodes/episode-1-my-secret-lover-is-his-brother-69c66c0c03e82c80ed093e46-fmj6bl3a86</x:v>
      </x:c>
    </x:row>
    <x:row r="151">
      <x:c r="A151" s="12" t="str">
        <x:v>SRC150</x:v>
      </x:c>
      <x:c r="B151" s="12" t="str">
        <x:v>reelshort.com</x:v>
      </x:c>
      <x:c r="C151" s="12" t="str">
        <x:v>Official platform</x:v>
      </x:c>
      <x:c r="D151" s="12" t="str">
        <x:v>A</x:v>
      </x:c>
      <x:c r="E151" s="20" t="n">
        <x:v>1</x:v>
      </x:c>
      <x:c r="F151" s="12" t="str">
        <x:v>The Cooking Queen: A Recipe for Divorce</x:v>
      </x:c>
      <x:c r="G151" s="12" t="str">
        <x:v>Supplement_DOCX</x:v>
      </x:c>
      <x:c r="H151" s="12" t="str">
        <x:v>https://www.reelshort.com/episodes/trailer-the-cooking-queen-a-recipe-for-divorce-69aefec9d6db6f96240ff7b4-a78gz51wyl</x:v>
      </x:c>
    </x:row>
    <x:row r="152">
      <x:c r="A152" s="12" t="str">
        <x:v>SRC151</x:v>
      </x:c>
      <x:c r="B152" s="12" t="str">
        <x:v>reelshort.com</x:v>
      </x:c>
      <x:c r="C152" s="12" t="str">
        <x:v>Official platform</x:v>
      </x:c>
      <x:c r="D152" s="12" t="str">
        <x:v>A</x:v>
      </x:c>
      <x:c r="E152" s="20" t="n">
        <x:v>2</x:v>
      </x:c>
      <x:c r="F152" s="12" t="str">
        <x:v>Operation Christmas Trap; Rented a Billionaire Husband for Christmas</x:v>
      </x:c>
      <x:c r="G152" s="12" t="str">
        <x:v>Base_XLSX</x:v>
      </x:c>
      <x:c r="H152" s="12" t="str">
        <x:v>https://www.reelshort.com/fandom/?p=36047</x:v>
      </x:c>
    </x:row>
    <x:row r="153">
      <x:c r="A153" s="12" t="str">
        <x:v>SRC152</x:v>
      </x:c>
      <x:c r="B153" s="12" t="str">
        <x:v>reelshort.com</x:v>
      </x:c>
      <x:c r="C153" s="12" t="str">
        <x:v>Official platform</x:v>
      </x:c>
      <x:c r="D153" s="12" t="str">
        <x:v>A</x:v>
      </x:c>
      <x:c r="E153" s="20" t="n">
        <x:v>1</x:v>
      </x:c>
      <x:c r="F153" s="12" t="str">
        <x:v>King of Guns</x:v>
      </x:c>
      <x:c r="G153" s="12" t="str">
        <x:v>Base_XLSX</x:v>
      </x:c>
      <x:c r="H153" s="12" t="str">
        <x:v>https://www.reelshort.com/fandom/?p=36214</x:v>
      </x:c>
    </x:row>
    <x:row r="154">
      <x:c r="A154" s="12" t="str">
        <x:v>SRC153</x:v>
      </x:c>
      <x:c r="B154" s="12" t="str">
        <x:v>reelshort.com</x:v>
      </x:c>
      <x:c r="C154" s="12" t="str">
        <x:v>Official platform</x:v>
      </x:c>
      <x:c r="D154" s="12" t="str">
        <x:v>A</x:v>
      </x:c>
      <x:c r="E154" s="20" t="n">
        <x:v>1</x:v>
      </x:c>
      <x:c r="F154" s="12" t="str">
        <x:v>She’s Not Homeless, She’s Healer Goddess</x:v>
      </x:c>
      <x:c r="G154" s="12" t="str">
        <x:v>Base_XLSX</x:v>
      </x:c>
      <x:c r="H154" s="12" t="str">
        <x:v>https://www.reelshort.com/fandom/?p=42705</x:v>
      </x:c>
    </x:row>
    <x:row r="155">
      <x:c r="A155" s="12" t="str">
        <x:v>SRC154</x:v>
      </x:c>
      <x:c r="B155" s="12" t="str">
        <x:v>reelshort.com</x:v>
      </x:c>
      <x:c r="C155" s="12" t="str">
        <x:v>Official platform</x:v>
      </x:c>
      <x:c r="D155" s="12" t="str">
        <x:v>A</x:v>
      </x:c>
      <x:c r="E155" s="20" t="n">
        <x:v>1</x:v>
      </x:c>
      <x:c r="F155" s="12" t="str">
        <x:v>Runaway Single Mom Safe In His Arms</x:v>
      </x:c>
      <x:c r="G155" s="12" t="str">
        <x:v>Base_XLSX</x:v>
      </x:c>
      <x:c r="H155" s="12" t="str">
        <x:v>https://www.reelshort.com/fandom/?p=43496</x:v>
      </x:c>
    </x:row>
    <x:row r="156">
      <x:c r="A156" s="12" t="str">
        <x:v>SRC155</x:v>
      </x:c>
      <x:c r="B156" s="12" t="str">
        <x:v>reelshort.com</x:v>
      </x:c>
      <x:c r="C156" s="12" t="str">
        <x:v>Official platform</x:v>
      </x:c>
      <x:c r="D156" s="12" t="str">
        <x:v>A</x:v>
      </x:c>
      <x:c r="E156" s="20" t="n">
        <x:v>1</x:v>
      </x:c>
      <x:c r="F156" s="12" t="str">
        <x:v>End of the World, Start of My Empire</x:v>
      </x:c>
      <x:c r="G156" s="12" t="str">
        <x:v>Base_XLSX</x:v>
      </x:c>
      <x:c r="H156" s="12" t="str">
        <x:v>https://www.reelshort.com/fandom/?p=43701</x:v>
      </x:c>
    </x:row>
    <x:row r="157">
      <x:c r="A157" s="12" t="str">
        <x:v>SRC156</x:v>
      </x:c>
      <x:c r="B157" s="12" t="str">
        <x:v>reelshort.com</x:v>
      </x:c>
      <x:c r="C157" s="12" t="str">
        <x:v>Official platform</x:v>
      </x:c>
      <x:c r="D157" s="12" t="str">
        <x:v>A</x:v>
      </x:c>
      <x:c r="E157" s="20" t="n">
        <x:v>5</x:v>
      </x:c>
      <x:c r="F157" s="12" t="str">
        <x:v>Vampire Seduction; Accidental Surrogate for the Alpha; Divorce Tears From The Alpha But I Shine Alone; The Alpha King and His Virgin Bride</x:v>
      </x:c>
      <x:c r="G157" s="12" t="str">
        <x:v>Base_XLSX</x:v>
      </x:c>
      <x:c r="H157" s="12" t="str">
        <x:v>https://www.reelshort.com/fandom/best-werewolf-movies-01-20/</x:v>
      </x:c>
    </x:row>
    <x:row r="158">
      <x:c r="A158" s="12" t="str">
        <x:v>SRC157</x:v>
      </x:c>
      <x:c r="B158" s="12" t="str">
        <x:v>reelshort.com</x:v>
      </x:c>
      <x:c r="C158" s="12" t="str">
        <x:v>Official platform</x:v>
      </x:c>
      <x:c r="D158" s="12" t="str">
        <x:v>A</x:v>
      </x:c>
      <x:c r="E158" s="20" t="n">
        <x:v>1</x:v>
      </x:c>
      <x:c r="F158" s="12" t="str">
        <x:v>Carrying His Triplets, Becoming His Wifey</x:v>
      </x:c>
      <x:c r="G158" s="12" t="str">
        <x:v>Base_XLSX</x:v>
      </x:c>
      <x:c r="H158" s="12" t="str">
        <x:v>https://www.reelshort.com/fandom/carrying-his-triplets-becoming-his-wifey-cast-01-2-859dc0ec2889/</x:v>
      </x:c>
    </x:row>
    <x:row r="159">
      <x:c r="A159" s="12" t="str">
        <x:v>SRC158</x:v>
      </x:c>
      <x:c r="B159" s="12" t="str">
        <x:v>reelshort.com</x:v>
      </x:c>
      <x:c r="C159" s="12" t="str">
        <x:v>Official platform</x:v>
      </x:c>
      <x:c r="D159" s="12" t="str">
        <x:v>A</x:v>
      </x:c>
      <x:c r="E159" s="20" t="n">
        <x:v>1</x:v>
      </x:c>
      <x:c r="F159" s="12" t="str">
        <x:v>Escorting the Ruthless Billionaire Doctor</x:v>
      </x:c>
      <x:c r="G159" s="12" t="str">
        <x:v>Supplement_DOCX</x:v>
      </x:c>
      <x:c r="H159" s="12" t="str">
        <x:v>https://www.reelshort.com/fandom/escorting-the-ruthless-billionaire-doctor-cast-01-2/</x:v>
      </x:c>
    </x:row>
    <x:row r="160">
      <x:c r="A160" s="12" t="str">
        <x:v>SRC159</x:v>
      </x:c>
      <x:c r="B160" s="12" t="str">
        <x:v>reelshort.com</x:v>
      </x:c>
      <x:c r="C160" s="12" t="str">
        <x:v>Official platform</x:v>
      </x:c>
      <x:c r="D160" s="12" t="str">
        <x:v>A</x:v>
      </x:c>
      <x:c r="E160" s="20" t="n">
        <x:v>1</x:v>
      </x:c>
      <x:c r="F160" s="12" t="str">
        <x:v>Family by Love or by Blood</x:v>
      </x:c>
      <x:c r="G160" s="12" t="str">
        <x:v>Base_XLSX</x:v>
      </x:c>
      <x:c r="H160" s="12" t="str">
        <x:v>https://www.reelshort.com/fandom/family-by-love-or-by-blood-reelshort-01-22-ebe1a5e1ff29/</x:v>
      </x:c>
    </x:row>
    <x:row r="161">
      <x:c r="A161" s="12" t="str">
        <x:v>SRC160</x:v>
      </x:c>
      <x:c r="B161" s="12" t="str">
        <x:v>reelshort.com</x:v>
      </x:c>
      <x:c r="C161" s="12" t="str">
        <x:v>Official platform</x:v>
      </x:c>
      <x:c r="D161" s="12" t="str">
        <x:v>A</x:v>
      </x:c>
      <x:c r="E161" s="20" t="n">
        <x:v>1</x:v>
      </x:c>
      <x:c r="F161" s="12" t="str">
        <x:v>Fated to My Homeless Billionaire Alpha</x:v>
      </x:c>
      <x:c r="G161" s="12" t="str">
        <x:v>Supplement_DOCX</x:v>
      </x:c>
      <x:c r="H161" s="12" t="str">
        <x:v>https://www.reelshort.com/fandom/fated-to-my-homeless-billionaire-alpha-dailymotion-01-8/</x:v>
      </x:c>
    </x:row>
    <x:row r="162">
      <x:c r="A162" s="12" t="str">
        <x:v>SRC161</x:v>
      </x:c>
      <x:c r="B162" s="12" t="str">
        <x:v>reelshort.com</x:v>
      </x:c>
      <x:c r="C162" s="12" t="str">
        <x:v>Official platform</x:v>
      </x:c>
      <x:c r="D162" s="12" t="str">
        <x:v>A</x:v>
      </x:c>
      <x:c r="E162" s="20" t="n">
        <x:v>3</x:v>
      </x:c>
      <x:c r="F162" s="12" t="str">
        <x:v>The Magnificent Bodyguard; To Save His Daughter He Must Become A Killer; CEO's Baby Daddy Is the Merchant of Death</x:v>
      </x:c>
      <x:c r="G162" s="12" t="str">
        <x:v>Base_XLSX</x:v>
      </x:c>
      <x:c r="H162" s="12" t="str">
        <x:v>https://www.reelshort.com/fandom/from-international-arms-dealer-to-full-time-dad-cast-01-2-87e4a9c3288b/</x:v>
      </x:c>
    </x:row>
    <x:row r="163">
      <x:c r="A163" s="12" t="str">
        <x:v>SRC162</x:v>
      </x:c>
      <x:c r="B163" s="12" t="str">
        <x:v>reelshort.com</x:v>
      </x:c>
      <x:c r="C163" s="12" t="str">
        <x:v>Official platform</x:v>
      </x:c>
      <x:c r="D163" s="12" t="str">
        <x:v>A</x:v>
      </x:c>
      <x:c r="E163" s="20" t="n">
        <x:v>2</x:v>
      </x:c>
      <x:c r="F163" s="12" t="str">
        <x:v>Was the Heiress Switched at Birth?; Queen Mom Rules</x:v>
      </x:c>
      <x:c r="G163" s="12" t="str">
        <x:v>Base+Supplement_DOCX; Base_XLSX</x:v>
      </x:c>
      <x:c r="H163" s="12" t="str">
        <x:v>https://www.reelshort.com/fandom/girl-boss-returns-home-with-3-sons-01-7/</x:v>
      </x:c>
    </x:row>
    <x:row r="164">
      <x:c r="A164" s="12" t="str">
        <x:v>SRC163</x:v>
      </x:c>
      <x:c r="B164" s="12" t="str">
        <x:v>reelshort.com</x:v>
      </x:c>
      <x:c r="C164" s="12" t="str">
        <x:v>Official platform</x:v>
      </x:c>
      <x:c r="D164" s="12" t="str">
        <x:v>A</x:v>
      </x:c>
      <x:c r="E164" s="20" t="n">
        <x:v>1</x:v>
      </x:c>
      <x:c r="F164" s="12" t="str">
        <x:v>Her Double, His Trouble</x:v>
      </x:c>
      <x:c r="G164" s="12" t="str">
        <x:v>Base_XLSX</x:v>
      </x:c>
      <x:c r="H164" s="12" t="str">
        <x:v>https://www.reelshort.com/fandom/her-double-his-trouble-erin-fitzroy-and-damien-maxwell-01-6/</x:v>
      </x:c>
    </x:row>
    <x:row r="165">
      <x:c r="A165" s="12" t="str">
        <x:v>SRC164</x:v>
      </x:c>
      <x:c r="B165" s="12" t="str">
        <x:v>reelshort.com</x:v>
      </x:c>
      <x:c r="C165" s="12" t="str">
        <x:v>Official platform</x:v>
      </x:c>
      <x:c r="D165" s="12" t="str">
        <x:v>A</x:v>
      </x:c>
      <x:c r="E165" s="20" t="n">
        <x:v>1</x:v>
      </x:c>
      <x:c r="F165" s="12" t="str">
        <x:v>The Hidden Billionaire in First Class</x:v>
      </x:c>
      <x:c r="G165" s="12" t="str">
        <x:v>Base_XLSX</x:v>
      </x:c>
      <x:c r="H165" s="12" t="str">
        <x:v>https://www.reelshort.com/fandom/jett-hawkins-and-evelyn-grant-01-6/</x:v>
      </x:c>
    </x:row>
    <x:row r="166">
      <x:c r="A166" s="12" t="str">
        <x:v>SRC165</x:v>
      </x:c>
      <x:c r="B166" s="12" t="str">
        <x:v>reelshort.com</x:v>
      </x:c>
      <x:c r="C166" s="12" t="str">
        <x:v>Official platform</x:v>
      </x:c>
      <x:c r="D166" s="12" t="str">
        <x:v>A</x:v>
      </x:c>
      <x:c r="E166" s="20" t="n">
        <x:v>1</x:v>
      </x:c>
      <x:c r="F166" s="12" t="str">
        <x:v>Kneel Or Die: My Demons, My Rules</x:v>
      </x:c>
      <x:c r="G166" s="12" t="str">
        <x:v>Base_XLSX</x:v>
      </x:c>
      <x:c r="H166" s="12" t="str">
        <x:v>https://www.reelshort.com/fandom/kneel-or-die-my-demons-my-rules-dailymotion-01-8-3f8de524648b/</x:v>
      </x:c>
    </x:row>
    <x:row r="167">
      <x:c r="A167" s="12" t="str">
        <x:v>SRC166</x:v>
      </x:c>
      <x:c r="B167" s="12" t="str">
        <x:v>reelshort.com</x:v>
      </x:c>
      <x:c r="C167" s="12" t="str">
        <x:v>Official platform</x:v>
      </x:c>
      <x:c r="D167" s="12" t="str">
        <x:v>A</x:v>
      </x:c>
      <x:c r="E167" s="20" t="n">
        <x:v>1</x:v>
      </x:c>
      <x:c r="F167" s="12" t="str">
        <x:v>Love Given Wrong</x:v>
      </x:c>
      <x:c r="G167" s="12" t="str">
        <x:v>Supplement_DOCX</x:v>
      </x:c>
      <x:c r="H167" s="12" t="str">
        <x:v>https://www.reelshort.com/fandom/love-given-wrong-chinese-drama-dailymotion-8-aug/</x:v>
      </x:c>
    </x:row>
    <x:row r="168">
      <x:c r="A168" s="12" t="str">
        <x:v>SRC167</x:v>
      </x:c>
      <x:c r="B168" s="12" t="str">
        <x:v>reelshort.com</x:v>
      </x:c>
      <x:c r="C168" s="12" t="str">
        <x:v>Official platform</x:v>
      </x:c>
      <x:c r="D168" s="12" t="str">
        <x:v>A</x:v>
      </x:c>
      <x:c r="E168" s="20" t="n">
        <x:v>1</x:v>
      </x:c>
      <x:c r="F168" s="12" t="str">
        <x:v>Love Under Fire</x:v>
      </x:c>
      <x:c r="G168" s="12" t="str">
        <x:v>Base+Supplement_DOCX</x:v>
      </x:c>
      <x:c r="H168" s="12" t="str">
        <x:v>https://www.reelshort.com/fandom/love-under-fire-cast-01-2-93fb5cb97a73/</x:v>
      </x:c>
    </x:row>
    <x:row r="169">
      <x:c r="A169" s="12" t="str">
        <x:v>SRC168</x:v>
      </x:c>
      <x:c r="B169" s="12" t="str">
        <x:v>reelshort.com</x:v>
      </x:c>
      <x:c r="C169" s="12" t="str">
        <x:v>Official platform</x:v>
      </x:c>
      <x:c r="D169" s="12" t="str">
        <x:v>A</x:v>
      </x:c>
      <x:c r="E169" s="20" t="n">
        <x:v>1</x:v>
      </x:c>
      <x:c r="F169" s="12" t="str">
        <x:v>Operation Christmas Trap</x:v>
      </x:c>
      <x:c r="G169" s="12" t="str">
        <x:v>Supplement_DOCX</x:v>
      </x:c>
      <x:c r="H169" s="12" t="str">
        <x:v>https://www.reelshort.com/fandom/operation-christmas-trap-cast-01-2-0bdc90598b6f/</x:v>
      </x:c>
    </x:row>
    <x:row r="170">
      <x:c r="A170" s="12" t="str">
        <x:v>SRC169</x:v>
      </x:c>
      <x:c r="B170" s="12" t="str">
        <x:v>reelshort.com</x:v>
      </x:c>
      <x:c r="C170" s="12" t="str">
        <x:v>Official platform</x:v>
      </x:c>
      <x:c r="D170" s="12" t="str">
        <x:v>A</x:v>
      </x:c>
      <x:c r="E170" s="20" t="n">
        <x:v>2</x:v>
      </x:c>
      <x:c r="F170" s="12" t="str">
        <x:v>Scandalous; Vicious</x:v>
      </x:c>
      <x:c r="G170" s="12" t="str">
        <x:v>Base_XLSX</x:v>
      </x:c>
      <x:c r="H170" s="12" t="str">
        <x:v>https://www.reelshort.com/fandom/reelshort-vicious-ending-01-9-38fccd6193b4/</x:v>
      </x:c>
    </x:row>
    <x:row r="171">
      <x:c r="A171" s="12" t="str">
        <x:v>SRC170</x:v>
      </x:c>
      <x:c r="B171" s="12" t="str">
        <x:v>reelshort.com</x:v>
      </x:c>
      <x:c r="C171" s="12" t="str">
        <x:v>Official platform</x:v>
      </x:c>
      <x:c r="D171" s="12" t="str">
        <x:v>A</x:v>
      </x:c>
      <x:c r="E171" s="20" t="n">
        <x:v>1</x:v>
      </x:c>
      <x:c r="F171" s="12" t="str">
        <x:v>Rejecting My Lycan Mate</x:v>
      </x:c>
      <x:c r="G171" s="12" t="str">
        <x:v>Base_XLSX</x:v>
      </x:c>
      <x:c r="H171" s="12" t="str">
        <x:v>https://www.reelshort.com/fandom/rejecting-my-lycan-mate-dailymotion-8-aug/</x:v>
      </x:c>
    </x:row>
    <x:row r="172">
      <x:c r="A172" s="12" t="str">
        <x:v>SRC171</x:v>
      </x:c>
      <x:c r="B172" s="12" t="str">
        <x:v>reelshort.com</x:v>
      </x:c>
      <x:c r="C172" s="12" t="str">
        <x:v>Official platform</x:v>
      </x:c>
      <x:c r="D172" s="12" t="str">
        <x:v>A</x:v>
      </x:c>
      <x:c r="E172" s="20" t="n">
        <x:v>1</x:v>
      </x:c>
      <x:c r="F172" s="12" t="str">
        <x:v>Love Under Fire</x:v>
      </x:c>
      <x:c r="G172" s="12" t="str">
        <x:v>Base+Supplement_DOCX</x:v>
      </x:c>
      <x:c r="H172" s="12" t="str">
        <x:v>https://www.reelshort.com/fandom/shane-halstead-and-aria-meep-01-6-93fb5cb97a73/</x:v>
      </x:c>
    </x:row>
    <x:row r="173">
      <x:c r="A173" s="12" t="str">
        <x:v>SRC172</x:v>
      </x:c>
      <x:c r="B173" s="12" t="str">
        <x:v>reelshort.com</x:v>
      </x:c>
      <x:c r="C173" s="12" t="str">
        <x:v>Official platform</x:v>
      </x:c>
      <x:c r="D173" s="12" t="str">
        <x:v>A</x:v>
      </x:c>
      <x:c r="E173" s="20" t="n">
        <x:v>1</x:v>
      </x:c>
      <x:c r="F173" s="12" t="str">
        <x:v>She Said Yes They Said Oops</x:v>
      </x:c>
      <x:c r="G173" s="12" t="str">
        <x:v>Base_XLSX</x:v>
      </x:c>
      <x:c r="H173" s="12" t="str">
        <x:v>https://www.reelshort.com/fandom/she-said-yes-they-said-oops-dailymotion-8-aug/</x:v>
      </x:c>
    </x:row>
    <x:row r="174">
      <x:c r="A174" s="12" t="str">
        <x:v>SRC173</x:v>
      </x:c>
      <x:c r="B174" s="12" t="str">
        <x:v>reelshort.com</x:v>
      </x:c>
      <x:c r="C174" s="12" t="str">
        <x:v>Official platform</x:v>
      </x:c>
      <x:c r="D174" s="12" t="str">
        <x:v>A</x:v>
      </x:c>
      <x:c r="E174" s="20" t="n">
        <x:v>3</x:v>
      </x:c>
      <x:c r="F174" s="12" t="str">
        <x:v>The Prince's First Love; Tell Me Not to Love You</x:v>
      </x:c>
      <x:c r="G174" s="12" t="str">
        <x:v>Base_XLSX</x:v>
      </x:c>
      <x:c r="H174" s="12" t="str">
        <x:v>https://www.reelshort.com/fandom/tell-me-not-to-love-you-cast-01-2-025edc1d0e10/</x:v>
      </x:c>
    </x:row>
    <x:row r="175">
      <x:c r="A175" s="12" t="str">
        <x:v>SRC174</x:v>
      </x:c>
      <x:c r="B175" s="12" t="str">
        <x:v>reelshort.com</x:v>
      </x:c>
      <x:c r="C175" s="12" t="str">
        <x:v>Official platform</x:v>
      </x:c>
      <x:c r="D175" s="12" t="str">
        <x:v>A</x:v>
      </x:c>
      <x:c r="E175" s="20" t="n">
        <x:v>2</x:v>
      </x:c>
      <x:c r="F175" s="12" t="str">
        <x:v>I Had A Baby Without You; The Beggar King Returns</x:v>
      </x:c>
      <x:c r="G175" s="12" t="str">
        <x:v>Base_XLSX</x:v>
      </x:c>
      <x:c r="H175" s="12" t="str">
        <x:v>https://www.reelshort.com/fandom/the-beggar-king-returns-cast-01-2-27c70f7305b4/</x:v>
      </x:c>
    </x:row>
    <x:row r="176">
      <x:c r="A176" s="12" t="str">
        <x:v>SRC175</x:v>
      </x:c>
      <x:c r="B176" s="12" t="str">
        <x:v>reelshort.com</x:v>
      </x:c>
      <x:c r="C176" s="12" t="str">
        <x:v>Official platform</x:v>
      </x:c>
      <x:c r="D176" s="12" t="str">
        <x:v>A</x:v>
      </x:c>
      <x:c r="E176" s="20" t="n">
        <x:v>1</x:v>
      </x:c>
      <x:c r="F176" s="12" t="str">
        <x:v>The Year in His Chains</x:v>
      </x:c>
      <x:c r="G176" s="12" t="str">
        <x:v>Base_XLSX</x:v>
      </x:c>
      <x:c r="H176" s="12" t="str">
        <x:v>https://www.reelshort.com/fandom/the-year-in-his-chains-cast-01-2/</x:v>
      </x:c>
    </x:row>
    <x:row r="177">
      <x:c r="A177" s="12" t="str">
        <x:v>SRC176</x:v>
      </x:c>
      <x:c r="B177" s="12" t="str">
        <x:v>reelshort.com</x:v>
      </x:c>
      <x:c r="C177" s="12" t="str">
        <x:v>Official platform</x:v>
      </x:c>
      <x:c r="D177" s="12" t="str">
        <x:v>A</x:v>
      </x:c>
      <x:c r="E177" s="20" t="n">
        <x:v>3</x:v>
      </x:c>
      <x:c r="F177" s="12" t="str">
        <x:v>The Janitor Billionaire, His Swapped Bride; Lady CEO’s Fatal Contract; All’s Fairway in Love at the Country Club</x:v>
      </x:c>
      <x:c r="G177" s="12" t="str">
        <x:v>Base_XLSX</x:v>
      </x:c>
      <x:c r="H177" s="12" t="str">
        <x:v>https://www.reelshort.com/fandom/violet-sterling-and-liam-01-6-a6b2a725d5de/</x:v>
      </x:c>
    </x:row>
    <x:row r="178">
      <x:c r="A178" s="12" t="str">
        <x:v>SRC177</x:v>
      </x:c>
      <x:c r="B178" s="12" t="str">
        <x:v>reelshort.com</x:v>
      </x:c>
      <x:c r="C178" s="12" t="str">
        <x:v>Official platform</x:v>
      </x:c>
      <x:c r="D178" s="12" t="str">
        <x:v>A</x:v>
      </x:c>
      <x:c r="E178" s="20" t="n">
        <x:v>1</x:v>
      </x:c>
      <x:c r="F178" s="12" t="str">
        <x:v>Was the Heiress Switched at Birth?</x:v>
      </x:c>
      <x:c r="G178" s="12" t="str">
        <x:v>Base+Supplement_DOCX</x:v>
      </x:c>
      <x:c r="H178" s="12" t="str">
        <x:v>https://www.reelshort.com/fandom/was-the-heiress-switched-at-birth-cast-01-2-20d2d25f0c26/</x:v>
      </x:c>
    </x:row>
    <x:row r="179">
      <x:c r="A179" s="12" t="str">
        <x:v>SRC178</x:v>
      </x:c>
      <x:c r="B179" s="12" t="str">
        <x:v>reelshort.com</x:v>
      </x:c>
      <x:c r="C179" s="12" t="str">
        <x:v>Official platform</x:v>
      </x:c>
      <x:c r="D179" s="12" t="str">
        <x:v>A</x:v>
      </x:c>
      <x:c r="E179" s="20" t="n">
        <x:v>1</x:v>
      </x:c>
      <x:c r="F179" s="12" t="str">
        <x:v>What My Poor Ex-Wife Is My Boss</x:v>
      </x:c>
      <x:c r="G179" s="12" t="str">
        <x:v>Base_XLSX</x:v>
      </x:c>
      <x:c r="H179" s="12" t="str">
        <x:v>https://www.reelshort.com/fandom/what-my-poor-ex-wife-is-my-boss-01-7/</x:v>
      </x:c>
    </x:row>
    <x:row r="180">
      <x:c r="A180" s="12" t="str">
        <x:v>SRC179</x:v>
      </x:c>
      <x:c r="B180" s="12" t="str">
        <x:v>reelshort.com</x:v>
      </x:c>
      <x:c r="C180" s="12" t="str">
        <x:v>Official platform</x:v>
      </x:c>
      <x:c r="D180" s="12" t="str">
        <x:v>A</x:v>
      </x:c>
      <x:c r="E180" s="20" t="n">
        <x:v>1</x:v>
      </x:c>
      <x:c r="F180" s="12" t="str">
        <x:v>Fated Mate of the Nine-Tailed Fox</x:v>
      </x:c>
      <x:c r="G180" s="12" t="str">
        <x:v>Base_XLSX</x:v>
      </x:c>
      <x:c r="H180" s="12" t="str">
        <x:v>https://www.reelshort.com/full-episodes/fated-mate-of-the-nine-tailed-fox-68985bdb63e82b40540dc035</x:v>
      </x:c>
    </x:row>
    <x:row r="181">
      <x:c r="A181" s="12" t="str">
        <x:v>SRC180</x:v>
      </x:c>
      <x:c r="B181" s="12" t="str">
        <x:v>reelshort.com</x:v>
      </x:c>
      <x:c r="C181" s="12" t="str">
        <x:v>Official platform</x:v>
      </x:c>
      <x:c r="D181" s="12" t="str">
        <x:v>A</x:v>
      </x:c>
      <x:c r="E181" s="20" t="n">
        <x:v>1</x:v>
      </x:c>
      <x:c r="F181" s="12" t="str">
        <x:v>I’m Done Being Your Simp</x:v>
      </x:c>
      <x:c r="G181" s="12" t="str">
        <x:v>Base_XLSX</x:v>
      </x:c>
      <x:c r="H181" s="12" t="str">
        <x:v>https://www.reelshort.com/full-episodes/im-done-being-your-simp-6877458a02bb7f7d3f0b9f47</x:v>
      </x:c>
    </x:row>
    <x:row r="182">
      <x:c r="A182" s="12" t="str">
        <x:v>SRC181</x:v>
      </x:c>
      <x:c r="B182" s="12" t="str">
        <x:v>reelshort.com</x:v>
      </x:c>
      <x:c r="C182" s="12" t="str">
        <x:v>Official platform</x:v>
      </x:c>
      <x:c r="D182" s="12" t="str">
        <x:v>A</x:v>
      </x:c>
      <x:c r="E182" s="20" t="n">
        <x:v>2</x:v>
      </x:c>
      <x:c r="F182" s="12" t="str">
        <x:v>Silicon God Strikes Back; My Secret Lover Is His Brother</x:v>
      </x:c>
      <x:c r="G182" s="12" t="str">
        <x:v>Supplement_DOCX</x:v>
      </x:c>
      <x:c r="H182" s="12" t="str">
        <x:v>https://www.reelshort.com/full-episodes/my-secret-lover-is-his-brother-69c66c0c03e82c80ed093e46</x:v>
      </x:c>
    </x:row>
    <x:row r="183">
      <x:c r="A183" s="12" t="str">
        <x:v>SRC182</x:v>
      </x:c>
      <x:c r="B183" s="12" t="str">
        <x:v>reelshort.com</x:v>
      </x:c>
      <x:c r="C183" s="12" t="str">
        <x:v>Official platform</x:v>
      </x:c>
      <x:c r="D183" s="12" t="str">
        <x:v>A</x:v>
      </x:c>
      <x:c r="E183" s="20" t="n">
        <x:v>1</x:v>
      </x:c>
      <x:c r="F183" s="12" t="str">
        <x:v>Step Aside, I’m the King of Capital</x:v>
      </x:c>
      <x:c r="G183" s="12" t="str">
        <x:v>Supplement_DOCX</x:v>
      </x:c>
      <x:c r="H183" s="12" t="str">
        <x:v>https://www.reelshort.com/full-episodes/step-aside-i-m-the-king-of-capital-690306d7afd90472c800cf3a</x:v>
      </x:c>
    </x:row>
    <x:row r="184">
      <x:c r="A184" s="12" t="str">
        <x:v>SRC183</x:v>
      </x:c>
      <x:c r="B184" s="12" t="str">
        <x:v>reelshort.com</x:v>
      </x:c>
      <x:c r="C184" s="12" t="str">
        <x:v>Official platform</x:v>
      </x:c>
      <x:c r="D184" s="12" t="str">
        <x:v>A</x:v>
      </x:c>
      <x:c r="E184" s="20" t="n">
        <x:v>1</x:v>
      </x:c>
      <x:c r="F184" s="12" t="str">
        <x:v>The Last Time I Forgive (English-dubbed)</x:v>
      </x:c>
      <x:c r="G184" s="12" t="str">
        <x:v>Base_XLSX</x:v>
      </x:c>
      <x:c r="H184" s="12" t="str">
        <x:v>https://www.reelshort.com/full-episodes/the-last-time-i-forgive-english-dubbed-68882a57f3d2887c470ad72e</x:v>
      </x:c>
    </x:row>
    <x:row r="185">
      <x:c r="A185" s="12" t="str">
        <x:v>SRC184</x:v>
      </x:c>
      <x:c r="B185" s="12" t="str">
        <x:v>reelshort.com</x:v>
      </x:c>
      <x:c r="C185" s="12" t="str">
        <x:v>Official platform</x:v>
      </x:c>
      <x:c r="D185" s="12" t="str">
        <x:v>A</x:v>
      </x:c>
      <x:c r="E185" s="20" t="n">
        <x:v>3</x:v>
      </x:c>
      <x:c r="F185" s="12" t="str">
        <x:v>Move Aside! I’m the Final Boss; End of the World, Start of My Empire; Bite to the Top</x:v>
      </x:c>
      <x:c r="G185" s="12" t="str">
        <x:v>Base_XLSX</x:v>
      </x:c>
      <x:c r="H185" s="12" t="str">
        <x:v>https://www.reelshort.com/movie-genres/all-movies</x:v>
      </x:c>
    </x:row>
    <x:row r="186">
      <x:c r="A186" s="12" t="str">
        <x:v>SRC185</x:v>
      </x:c>
      <x:c r="B186" s="12" t="str">
        <x:v>reelshort.com</x:v>
      </x:c>
      <x:c r="C186" s="12" t="str">
        <x:v>Official platform</x:v>
      </x:c>
      <x:c r="D186" s="12" t="str">
        <x:v>A</x:v>
      </x:c>
      <x:c r="E186" s="20" t="n">
        <x:v>1</x:v>
      </x:c>
      <x:c r="F186" s="12" t="str">
        <x:v>Love Given Wrong</x:v>
      </x:c>
      <x:c r="G186" s="12" t="str">
        <x:v>Supplement_DOCX</x:v>
      </x:c>
      <x:c r="H186" s="12" t="str">
        <x:v>https://www.reelshort.com/search?keywords=Love+Given+Wrong&amp;page=23&amp;type=topics</x:v>
      </x:c>
    </x:row>
    <x:row r="187">
      <x:c r="A187" s="12" t="str">
        <x:v>SRC186</x:v>
      </x:c>
      <x:c r="B187" s="12" t="str">
        <x:v>reelshort.com</x:v>
      </x:c>
      <x:c r="C187" s="12" t="str">
        <x:v>Official platform</x:v>
      </x:c>
      <x:c r="D187" s="12" t="str">
        <x:v>A</x:v>
      </x:c>
      <x:c r="E187" s="20" t="n">
        <x:v>1</x:v>
      </x:c>
      <x:c r="F187" s="12" t="str">
        <x:v>Ms. CEO’s Baby Daddy Is the Merchant of Death</x:v>
      </x:c>
      <x:c r="G187" s="12" t="str">
        <x:v>Supplement_DOCX</x:v>
      </x:c>
      <x:c r="H187" s="12" t="str">
        <x:v>https://www.reelshort.com/search?keywords=Ms.+CEO%27s+Baby+Daddy+Is+the+Merchant+of+Death+reddit&amp;uniqueid=87e4a9c3288b</x:v>
      </x:c>
    </x:row>
    <x:row r="188">
      <x:c r="A188" s="12" t="str">
        <x:v>SRC187</x:v>
      </x:c>
      <x:c r="B188" s="12" t="str">
        <x:v>reelshort.com</x:v>
      </x:c>
      <x:c r="C188" s="12" t="str">
        <x:v>Official platform</x:v>
      </x:c>
      <x:c r="D188" s="12" t="str">
        <x:v>A</x:v>
      </x:c>
      <x:c r="E188" s="20" t="n">
        <x:v>2</x:v>
      </x:c>
      <x:c r="F188" s="12" t="str">
        <x:v>Sisterhood of Lies: Pledge for Revenge; Your Husband Is Mine</x:v>
      </x:c>
      <x:c r="G188" s="12" t="str">
        <x:v>Supplement_DOCX</x:v>
      </x:c>
      <x:c r="H188" s="12" t="str">
        <x:v>https://www.reelshort.com/search?keywords=Your+Husband+Is+Mine+cast&amp;uniqueid=c2a177b07a8c</x:v>
      </x:c>
    </x:row>
    <x:row r="189">
      <x:c r="A189" s="12" t="str">
        <x:v>SRC188</x:v>
      </x:c>
      <x:c r="B189" s="12" t="str">
        <x:v>reelshort.com</x:v>
      </x:c>
      <x:c r="C189" s="12" t="str">
        <x:v>Official platform</x:v>
      </x:c>
      <x:c r="D189" s="12" t="str">
        <x:v>A</x:v>
      </x:c>
      <x:c r="E189" s="20" t="n">
        <x:v>1</x:v>
      </x:c>
      <x:c r="F189" s="12" t="str">
        <x:v>Step Aside, I’m the King of Capital</x:v>
      </x:c>
      <x:c r="G189" s="12" t="str">
        <x:v>Supplement_DOCX</x:v>
      </x:c>
      <x:c r="H189" s="12" t="str">
        <x:v>https://www.reelshort.com/search?keywords=step+aside+im+the+king+of+capital+freya&amp;uniqueid=cab5608b831a</x:v>
      </x:c>
    </x:row>
    <x:row r="190">
      <x:c r="A190" s="12" t="str">
        <x:v>SRC189</x:v>
      </x:c>
      <x:c r="B190" s="12" t="str">
        <x:v>reelshort.com</x:v>
      </x:c>
      <x:c r="C190" s="12" t="str">
        <x:v>Official platform</x:v>
      </x:c>
      <x:c r="D190" s="12" t="str">
        <x:v>A</x:v>
      </x:c>
      <x:c r="E190" s="20" t="n">
        <x:v>2</x:v>
      </x:c>
      <x:c r="F190" s="12" t="str">
        <x:v>Sisterhood of Lies: Pledge for Revenge; Your Husband Is Mine</x:v>
      </x:c>
      <x:c r="G190" s="12" t="str">
        <x:v>Supplement_DOCX</x:v>
      </x:c>
      <x:c r="H190" s="12" t="str">
        <x:v>https://www.reelshort.com/search?keywords=your+husband+is+mine+movie&amp;uniqueid=c2a177b07a8c</x:v>
      </x:c>
    </x:row>
    <x:row r="191">
      <x:c r="A191" s="12" t="str">
        <x:v>SRC190</x:v>
      </x:c>
      <x:c r="B191" s="12" t="str">
        <x:v>reelshort.com</x:v>
      </x:c>
      <x:c r="C191" s="12" t="str">
        <x:v>Official platform</x:v>
      </x:c>
      <x:c r="D191" s="12" t="str">
        <x:v>A</x:v>
      </x:c>
      <x:c r="E191" s="20" t="n">
        <x:v>1</x:v>
      </x:c>
      <x:c r="F191" s="12" t="str">
        <x:v>Fated to My Homeless Billionaire Alpha</x:v>
      </x:c>
      <x:c r="G191" s="12" t="str">
        <x:v>Supplement_DOCX</x:v>
      </x:c>
      <x:c r="H191" s="12" t="str">
        <x:v>https://www.reelshort.com/tags/story-beats/kekasih-takdir-movies-676d210f4582b53a14081afc/3</x:v>
      </x:c>
    </x:row>
    <x:row r="192">
      <x:c r="A192" s="12" t="str">
        <x:v>SRC191</x:v>
      </x:c>
      <x:c r="B192" s="12" t="str">
        <x:v>youtube.com</x:v>
      </x:c>
      <x:c r="C192" s="12" t="str">
        <x:v>Official/clip video metric proxy</x:v>
      </x:c>
      <x:c r="D192" s="12" t="str">
        <x:v>B</x:v>
      </x:c>
      <x:c r="E192" s="20" t="n">
        <x:v>1</x:v>
      </x:c>
      <x:c r="F192" s="12" t="str">
        <x:v>Official Bride Pick: My Three Beauties</x:v>
      </x:c>
      <x:c r="G192" s="12" t="str">
        <x:v>Supplement_DOCX</x:v>
      </x:c>
      <x:c r="H192" s="12" t="str">
        <x:v>https://www.youtube.com/%40GoodShort_Korea</x:v>
      </x:c>
    </x:row>
    <x:row r="193">
      <x:c r="A193" s="12" t="str">
        <x:v>SRC192</x:v>
      </x:c>
      <x:c r="B193" s="12" t="str">
        <x:v>youtube.com</x:v>
      </x:c>
      <x:c r="C193" s="12" t="str">
        <x:v>Official/clip video metric proxy</x:v>
      </x:c>
      <x:c r="D193" s="12" t="str">
        <x:v>B</x:v>
      </x:c>
      <x:c r="E193" s="20" t="n">
        <x:v>1</x:v>
      </x:c>
      <x:c r="F193" s="12" t="str">
        <x:v>Counterattack Life</x:v>
      </x:c>
      <x:c r="G193" s="12" t="str">
        <x:v>Supplement_DOCX</x:v>
      </x:c>
      <x:c r="H193" s="12" t="str">
        <x:v>https://www.youtube.com/%40NetShort-app</x:v>
      </x:c>
    </x:row>
    <x:row r="194">
      <x:c r="A194" s="12" t="str">
        <x:v>SRC193</x:v>
      </x:c>
      <x:c r="B194" s="12" t="str">
        <x:v>youtube.com</x:v>
      </x:c>
      <x:c r="C194" s="12" t="str">
        <x:v>Official/clip video metric proxy</x:v>
      </x:c>
      <x:c r="D194" s="12" t="str">
        <x:v>B</x:v>
      </x:c>
      <x:c r="E194" s="20" t="n">
        <x:v>3</x:v>
      </x:c>
      <x:c r="F194" s="12" t="str">
        <x:v>Love at Fifty; Love at Fifty / Divorce Dreams cluster</x:v>
      </x:c>
      <x:c r="G194" s="12" t="str">
        <x:v>Base_XLSX</x:v>
      </x:c>
      <x:c r="H194" s="12" t="str">
        <x:v>https://www.youtube.com/playlist?list=PLXL2YEPKBPRPt0w8w2pdG5O2aOYpkNo9H</x:v>
      </x:c>
    </x:row>
    <x:row r="195">
      <x:c r="A195" s="12" t="str">
        <x:v>SRC194</x:v>
      </x:c>
      <x:c r="B195" s="12" t="str">
        <x:v>youtube.com</x:v>
      </x:c>
      <x:c r="C195" s="12" t="str">
        <x:v>Official/clip video metric proxy</x:v>
      </x:c>
      <x:c r="D195" s="12" t="str">
        <x:v>B</x:v>
      </x:c>
      <x:c r="E195" s="20" t="n">
        <x:v>2</x:v>
      </x:c>
      <x:c r="F195" s="12" t="str">
        <x:v>Born with Magic</x:v>
      </x:c>
      <x:c r="G195" s="12" t="str">
        <x:v>Base_XLSX</x:v>
      </x:c>
      <x:c r="H195" s="12" t="str">
        <x:v>https://www.youtube.com/playlist?list=PLXljp-Au7yot8Ibv1T9xE5RQxGRqKqAXm</x:v>
      </x:c>
    </x:row>
    <x:row r="196">
      <x:c r="A196" s="12" t="str">
        <x:v>SRC195</x:v>
      </x:c>
      <x:c r="B196" s="12" t="str">
        <x:v>youtube.com</x:v>
      </x:c>
      <x:c r="C196" s="12" t="str">
        <x:v>Official/clip video metric proxy</x:v>
      </x:c>
      <x:c r="D196" s="12" t="str">
        <x:v>B</x:v>
      </x:c>
      <x:c r="E196" s="20" t="n">
        <x:v>1</x:v>
      </x:c>
      <x:c r="F196" s="12" t="str">
        <x:v>One Move God Mode</x:v>
      </x:c>
      <x:c r="G196" s="12" t="str">
        <x:v>Base+Supplement_DOCX</x:v>
      </x:c>
      <x:c r="H196" s="12" t="str">
        <x:v>https://www.youtube.com/playlist?list=PLe2Johk8uK6J5xh0_X5X-50pMjI-b1FK8</x:v>
      </x:c>
    </x:row>
    <x:row r="197">
      <x:c r="A197" s="12" t="str">
        <x:v>SRC196</x:v>
      </x:c>
      <x:c r="B197" s="12" t="str">
        <x:v>youtube.com</x:v>
      </x:c>
      <x:c r="C197" s="12" t="str">
        <x:v>Official/clip video metric proxy</x:v>
      </x:c>
      <x:c r="D197" s="12" t="str">
        <x:v>B</x:v>
      </x:c>
      <x:c r="E197" s="20" t="n">
        <x:v>1</x:v>
      </x:c>
      <x:c r="F197" s="12" t="str">
        <x:v>The Legend of A Bastard Son</x:v>
      </x:c>
      <x:c r="G197" s="12" t="str">
        <x:v>Supplement_DOCX</x:v>
      </x:c>
      <x:c r="H197" s="12" t="str">
        <x:v>https://www.youtube.com/watch?v=1Vkor8Oz3M0</x:v>
      </x:c>
    </x:row>
    <x:row r="198">
      <x:c r="A198" s="12" t="str">
        <x:v>SRC197</x:v>
      </x:c>
      <x:c r="B198" s="12" t="str">
        <x:v>youtube.com</x:v>
      </x:c>
      <x:c r="C198" s="12" t="str">
        <x:v>Official/clip video metric proxy</x:v>
      </x:c>
      <x:c r="D198" s="12" t="str">
        <x:v>B</x:v>
      </x:c>
      <x:c r="E198" s="20" t="n">
        <x:v>2</x:v>
      </x:c>
      <x:c r="F198" s="12" t="str">
        <x:v>Wrong Sperm, Right Love</x:v>
      </x:c>
      <x:c r="G198" s="12" t="str">
        <x:v>Supplement_DOCX</x:v>
      </x:c>
      <x:c r="H198" s="12" t="str">
        <x:v>https://www.youtube.com/watch?v=7D7fO9R1FTg</x:v>
      </x:c>
    </x:row>
    <x:row r="199">
      <x:c r="A199" s="12" t="str">
        <x:v>SRC198</x:v>
      </x:c>
      <x:c r="B199" s="12" t="str">
        <x:v>youtube.com</x:v>
      </x:c>
      <x:c r="C199" s="12" t="str">
        <x:v>Official/clip video metric proxy</x:v>
      </x:c>
      <x:c r="D199" s="12" t="str">
        <x:v>B</x:v>
      </x:c>
      <x:c r="E199" s="20" t="n">
        <x:v>1</x:v>
      </x:c>
      <x:c r="F199" s="12" t="str">
        <x:v>Iron Fist, Blossoming Heart</x:v>
      </x:c>
      <x:c r="G199" s="12" t="str">
        <x:v>Supplement_DOCX</x:v>
      </x:c>
      <x:c r="H199" s="12" t="str">
        <x:v>https://www.youtube.com/watch?v=7aB4SkpK7jk</x:v>
      </x:c>
    </x:row>
    <x:row r="200">
      <x:c r="A200" s="12" t="str">
        <x:v>SRC199</x:v>
      </x:c>
      <x:c r="B200" s="12" t="str">
        <x:v>youtube.com</x:v>
      </x:c>
      <x:c r="C200" s="12" t="str">
        <x:v>Official/clip video metric proxy</x:v>
      </x:c>
      <x:c r="D200" s="12" t="str">
        <x:v>B</x:v>
      </x:c>
      <x:c r="E200" s="20" t="n">
        <x:v>2</x:v>
      </x:c>
      <x:c r="F200" s="12" t="str">
        <x:v>Attribute Seizer: Undead Overlord; Baby Daddy at the Front Desk</x:v>
      </x:c>
      <x:c r="G200" s="12" t="str">
        <x:v>Supplement_DOCX</x:v>
      </x:c>
      <x:c r="H200" s="12" t="str">
        <x:v>https://www.youtube.com/watch?v=988xiYTL-cI</x:v>
      </x:c>
    </x:row>
    <x:row r="201">
      <x:c r="A201" s="12" t="str">
        <x:v>SRC200</x:v>
      </x:c>
      <x:c r="B201" s="12" t="str">
        <x:v>youtube.com</x:v>
      </x:c>
      <x:c r="C201" s="12" t="str">
        <x:v>Official/clip video metric proxy</x:v>
      </x:c>
      <x:c r="D201" s="12" t="str">
        <x:v>B</x:v>
      </x:c>
      <x:c r="E201" s="20" t="n">
        <x:v>1</x:v>
      </x:c>
      <x:c r="F201" s="12" t="str">
        <x:v>The Legend of A Bastard Son</x:v>
      </x:c>
      <x:c r="G201" s="12" t="str">
        <x:v>Supplement_DOCX</x:v>
      </x:c>
      <x:c r="H201" s="12" t="str">
        <x:v>https://www.youtube.com/watch?v=BQjxniDgpuM</x:v>
      </x:c>
    </x:row>
    <x:row r="202">
      <x:c r="A202" s="12" t="str">
        <x:v>SRC201</x:v>
      </x:c>
      <x:c r="B202" s="12" t="str">
        <x:v>youtube.com</x:v>
      </x:c>
      <x:c r="C202" s="12" t="str">
        <x:v>Official/clip video metric proxy</x:v>
      </x:c>
      <x:c r="D202" s="12" t="str">
        <x:v>B</x:v>
      </x:c>
      <x:c r="E202" s="20" t="n">
        <x:v>2</x:v>
      </x:c>
      <x:c r="F202" s="12" t="str">
        <x:v>Attribute Seizer: Undead Overlord; Baby Daddy at the Front Desk</x:v>
      </x:c>
      <x:c r="G202" s="12" t="str">
        <x:v>Supplement_DOCX</x:v>
      </x:c>
      <x:c r="H202" s="12" t="str">
        <x:v>https://www.youtube.com/watch?v=FZhfgMsmNS8</x:v>
      </x:c>
    </x:row>
    <x:row r="203">
      <x:c r="A203" s="12" t="str">
        <x:v>SRC202</x:v>
      </x:c>
      <x:c r="B203" s="12" t="str">
        <x:v>youtube.com</x:v>
      </x:c>
      <x:c r="C203" s="12" t="str">
        <x:v>Official/clip video metric proxy</x:v>
      </x:c>
      <x:c r="D203" s="12" t="str">
        <x:v>B</x:v>
      </x:c>
      <x:c r="E203" s="20" t="n">
        <x:v>2</x:v>
      </x:c>
      <x:c r="F203" s="12" t="str">
        <x:v>Daddy, Can You Hear Me Cry?; Mommy, Why Does Daddy Hate Me</x:v>
      </x:c>
      <x:c r="G203" s="12" t="str">
        <x:v>Supplement_DOCX</x:v>
      </x:c>
      <x:c r="H203" s="12" t="str">
        <x:v>https://www.youtube.com/watch?v=JCo8lNQ1eBk</x:v>
      </x:c>
    </x:row>
    <x:row r="204">
      <x:c r="A204" s="12" t="str">
        <x:v>SRC203</x:v>
      </x:c>
      <x:c r="B204" s="12" t="str">
        <x:v>youtube.com</x:v>
      </x:c>
      <x:c r="C204" s="12" t="str">
        <x:v>Official/clip video metric proxy</x:v>
      </x:c>
      <x:c r="D204" s="12" t="str">
        <x:v>B</x:v>
      </x:c>
      <x:c r="E204" s="20" t="n">
        <x:v>1</x:v>
      </x:c>
      <x:c r="F204" s="12" t="str">
        <x:v>Legend of Dawnbreaker</x:v>
      </x:c>
      <x:c r="G204" s="12" t="str">
        <x:v>Supplement_DOCX</x:v>
      </x:c>
      <x:c r="H204" s="12" t="str">
        <x:v>https://www.youtube.com/watch?v=Kaj4ay1Gz9A</x:v>
      </x:c>
    </x:row>
    <x:row r="205">
      <x:c r="A205" s="12" t="str">
        <x:v>SRC204</x:v>
      </x:c>
      <x:c r="B205" s="12" t="str">
        <x:v>youtube.com</x:v>
      </x:c>
      <x:c r="C205" s="12" t="str">
        <x:v>Official/clip video metric proxy</x:v>
      </x:c>
      <x:c r="D205" s="12" t="str">
        <x:v>B</x:v>
      </x:c>
      <x:c r="E205" s="20" t="n">
        <x:v>1</x:v>
      </x:c>
      <x:c r="F205" s="12" t="str">
        <x:v>Counterattack Life</x:v>
      </x:c>
      <x:c r="G205" s="12" t="str">
        <x:v>Supplement_DOCX</x:v>
      </x:c>
      <x:c r="H205" s="12" t="str">
        <x:v>https://www.youtube.com/watch?v=NfqFNCRxWR8</x:v>
      </x:c>
    </x:row>
    <x:row r="206">
      <x:c r="A206" s="12" t="str">
        <x:v>SRC205</x:v>
      </x:c>
      <x:c r="B206" s="12" t="str">
        <x:v>youtube.com</x:v>
      </x:c>
      <x:c r="C206" s="12" t="str">
        <x:v>Official/clip video metric proxy</x:v>
      </x:c>
      <x:c r="D206" s="12" t="str">
        <x:v>B</x:v>
      </x:c>
      <x:c r="E206" s="20" t="n">
        <x:v>1</x:v>
      </x:c>
      <x:c r="F206" s="12" t="str">
        <x:v>Legend of Dawnbreaker</x:v>
      </x:c>
      <x:c r="G206" s="12" t="str">
        <x:v>Supplement_DOCX</x:v>
      </x:c>
      <x:c r="H206" s="12" t="str">
        <x:v>https://www.youtube.com/watch?v=NoJy-qtLhtU</x:v>
      </x:c>
    </x:row>
    <x:row r="207">
      <x:c r="A207" s="12" t="str">
        <x:v>SRC206</x:v>
      </x:c>
      <x:c r="B207" s="12" t="str">
        <x:v>youtube.com</x:v>
      </x:c>
      <x:c r="C207" s="12" t="str">
        <x:v>Official/clip video metric proxy</x:v>
      </x:c>
      <x:c r="D207" s="12" t="str">
        <x:v>B</x:v>
      </x:c>
      <x:c r="E207" s="20" t="n">
        <x:v>2</x:v>
      </x:c>
      <x:c r="F207" s="12" t="str">
        <x:v>The Mafia King Wants Me</x:v>
      </x:c>
      <x:c r="G207" s="12" t="str">
        <x:v>Supplement_DOCX</x:v>
      </x:c>
      <x:c r="H207" s="12" t="str">
        <x:v>https://www.youtube.com/watch?v=SC921UxKlc0</x:v>
      </x:c>
    </x:row>
    <x:row r="208">
      <x:c r="A208" s="12" t="str">
        <x:v>SRC207</x:v>
      </x:c>
      <x:c r="B208" s="12" t="str">
        <x:v>youtube.com</x:v>
      </x:c>
      <x:c r="C208" s="12" t="str">
        <x:v>Official/clip video metric proxy</x:v>
      </x:c>
      <x:c r="D208" s="12" t="str">
        <x:v>B</x:v>
      </x:c>
      <x:c r="E208" s="20" t="n">
        <x:v>1</x:v>
      </x:c>
      <x:c r="F208" s="12" t="str">
        <x:v>Iron Fist, Blossoming Heart</x:v>
      </x:c>
      <x:c r="G208" s="12" t="str">
        <x:v>Supplement_DOCX</x:v>
      </x:c>
      <x:c r="H208" s="12" t="str">
        <x:v>https://www.youtube.com/watch?v=cxp0jqKqUvM</x:v>
      </x:c>
    </x:row>
    <x:row r="209">
      <x:c r="A209" s="12" t="str">
        <x:v>SRC208</x:v>
      </x:c>
      <x:c r="B209" s="12" t="str">
        <x:v>youtube.com</x:v>
      </x:c>
      <x:c r="C209" s="12" t="str">
        <x:v>Official/clip video metric proxy</x:v>
      </x:c>
      <x:c r="D209" s="12" t="str">
        <x:v>B</x:v>
      </x:c>
      <x:c r="E209" s="20" t="n">
        <x:v>2</x:v>
      </x:c>
      <x:c r="F209" s="12" t="str">
        <x:v>Wrong Sperm, Right Love II; The Mighty Lady Fixes the Manor</x:v>
      </x:c>
      <x:c r="G209" s="12" t="str">
        <x:v>Supplement_DOCX</x:v>
      </x:c>
      <x:c r="H209" s="12" t="str">
        <x:v>https://www.youtube.com/watch?v=mEbpWifrg2w</x:v>
      </x:c>
    </x:row>
    <x:row r="210">
      <x:c r="A210" s="12" t="str">
        <x:v>SRC209</x:v>
      </x:c>
      <x:c r="B210" s="12" t="str">
        <x:v>youtube.com</x:v>
      </x:c>
      <x:c r="C210" s="12" t="str">
        <x:v>Official/clip video metric proxy</x:v>
      </x:c>
      <x:c r="D210" s="12" t="str">
        <x:v>B</x:v>
      </x:c>
      <x:c r="E210" s="20" t="n">
        <x:v>7</x:v>
      </x:c>
      <x:c r="F210" s="12" t="str">
        <x:v>Blood and Bones of the Disowned Daughter</x:v>
      </x:c>
      <x:c r="G210" s="12" t="str">
        <x:v>Base+Supplement_DOCX; Base_XLSX</x:v>
      </x:c>
      <x:c r="H210" s="12" t="str">
        <x:v>https://www.youtube.com/watch?v=mUytOkm7drA</x:v>
      </x:c>
    </x:row>
    <x:row r="211">
      <x:c r="A211" s="12" t="str">
        <x:v>SRC211</x:v>
      </x:c>
      <x:c r="B211" s="12" t="str">
        <x:v>netshort.com</x:v>
      </x:c>
      <x:c r="C211" s="12" t="str">
        <x:v>Official platform / current all-plots</x:v>
      </x:c>
      <x:c r="D211" s="12" t="str">
        <x:v>A</x:v>
      </x:c>
      <x:c r="E211" s="12" t="str">
        <x:v>L0288:L0324</x:v>
      </x:c>
      <x:c r="F211" s="12" t="str">
        <x:v>NetShort current titles and user-callout titles</x:v>
      </x:c>
      <x:c r="G211" s="12" t="str">
        <x:v>2026-05-19_CORRECTED</x:v>
      </x:c>
      <x:c r="H211" s="12" t="str">
        <x:v>https://netshort.com/drama/all-plots</x:v>
      </x:c>
    </x:row>
    <x:row r="212">
      <x:c r="A212" s="12" t="str">
        <x:v>SRC212</x:v>
      </x:c>
      <x:c r="B212" s="12" t="str">
        <x:v>netshort.com</x:v>
      </x:c>
      <x:c r="C212" s="12" t="str">
        <x:v>Official platform / full episodes</x:v>
      </x:c>
      <x:c r="D212" s="12" t="str">
        <x:v>A</x:v>
      </x:c>
      <x:c r="E212" s="12" t="str">
        <x:v>L0288:L0324</x:v>
      </x:c>
      <x:c r="F212" s="12" t="str">
        <x:v>Wolfless Carpenter; Lion's Captive; Daughter Dragon; Cry For Losing Me; etc.</x:v>
      </x:c>
      <x:c r="G212" s="12" t="str">
        <x:v>2026-05-19_CORRECTED</x:v>
      </x:c>
      <x:c r="H212" s="12" t="str">
        <x:v>Multiple official NetShort full/episode/hotseries URLs in row source_urls</x:v>
      </x:c>
    </x:row>
    <x:row r="213">
      <x:c r="A213" s="12" t="str">
        <x:v>SRC213</x:v>
      </x:c>
      <x:c r="B213" s="12" t="str">
        <x:v>itopmarketing.com</x:v>
      </x:c>
      <x:c r="C213" s="12" t="str">
        <x:v>Industry report</x:v>
      </x:c>
      <x:c r="D213" s="12" t="str">
        <x:v>B</x:v>
      </x:c>
      <x:c r="E213" s="12" t="str">
        <x:v>L0289; L0300; 03_AIGC_TRACKER</x:v>
      </x:c>
      <x:c r="F213" s="12" t="str">
        <x:v>One Move God Mode; The Discarded Ace</x:v>
      </x:c>
      <x:c r="G213" s="12" t="str">
        <x:v>2026-05-19_CORRECTED</x:v>
      </x:c>
      <x:c r="H213" s="12" t="str">
        <x:v>https://www.itopmarketing.com/info22317</x:v>
      </x:c>
    </x:row>
    <x:row r="214">
      <x:c r="A214" s="12" t="str">
        <x:v>SRC214</x:v>
      </x:c>
      <x:c r="B214" s="12" t="str">
        <x:v>36kr.com / DataEye repost</x:v>
      </x:c>
      <x:c r="C214" s="12" t="str">
        <x:v>Industry report / ad-material trend</x:v>
      </x:c>
      <x:c r="D214" s="12" t="str">
        <x:v>B</x:v>
      </x:c>
      <x:c r="E214" s="12" t="str">
        <x:v>L0289; 03_AIGC_TRACKER</x:v>
      </x:c>
      <x:c r="F214" s="12" t="str">
        <x:v>One Move God Mode; overseas AI drama/comic-drama growth</x:v>
      </x:c>
      <x:c r="G214" s="12" t="str">
        <x:v>2026-05-19_CORRECTED</x:v>
      </x:c>
      <x:c r="H214" s="12" t="str">
        <x:v>https://m.36kr.com/p/3788967460729604</x:v>
      </x:c>
    </x:row>
    <x:row r="215">
      <x:c r="A215" s="12" t="str">
        <x:v>SRC215</x:v>
      </x:c>
      <x:c r="B215" s="12" t="str">
        <x:v>reelshort.com</x:v>
      </x:c>
      <x:c r="C215" s="12" t="str">
        <x:v>Official platform</x:v>
      </x:c>
      <x:c r="D215" s="12" t="str">
        <x:v>A</x:v>
      </x:c>
      <x:c r="E215" s="12" t="str">
        <x:v>L0297</x:v>
      </x:c>
      <x:c r="F215" s="12" t="str">
        <x:v>Rejected Luna Is the Alpha Queen</x:v>
      </x:c>
      <x:c r="G215" s="12" t="str">
        <x:v>2026-05-19_CORRECTED</x:v>
      </x:c>
      <x:c r="H215" s="12" t="str">
        <x:v>https://www.reelshort.com/full-episodes/rejected-luna-is-the-alpha-queen-69fa0a977e9368c0730c1459</x:v>
      </x:c>
    </x:row>
    <x:row r="216">
      <x:c r="A216" s="12" t="str">
        <x:v>SRC216</x:v>
      </x:c>
      <x:c r="B216" s="12" t="str">
        <x:v>netshort.com</x:v>
      </x:c>
      <x:c r="C216" s="12" t="str">
        <x:v>Official platform / hotseries</x:v>
      </x:c>
      <x:c r="D216" s="12" t="str">
        <x:v>A</x:v>
      </x:c>
      <x:c r="E216" s="12" t="str">
        <x:v>L0298:L0324</x:v>
      </x:c>
      <x:c r="F216" s="12" t="str">
        <x:v>Rusty Ring; Daughter of Zeus; Ghouls; Last Savior; etc.</x:v>
      </x:c>
      <x:c r="G216" s="12" t="str">
        <x:v>2026-05-19_CORRECTED</x:v>
      </x:c>
      <x:c r="H216" s="12" t="str">
        <x:v>Multiple NetShort hotseries URLs in row source_urls</x:v>
      </x:c>
    </x:row>
    <x:row r="217">
      <x:c r="A217" s="12" t="str">
        <x:v>SRC217</x:v>
      </x:c>
      <x:c r="B217" s="12" t="str">
        <x:v>netshort.com</x:v>
      </x:c>
      <x:c r="C217" s="12" t="str">
        <x:v>Official platform / AIGC candidate basis</x:v>
      </x:c>
      <x:c r="D217" s="12" t="str">
        <x:v>A</x:v>
      </x:c>
      <x:c r="E217" s="12" t="str">
        <x:v>03_AIGC_TRACKER</x:v>
      </x:c>
      <x:c r="F217" s="12" t="str">
        <x:v>F Rank; Reborn as Zombie; Turtle; Lizard; Trash Dragon; Hot Spring System</x:v>
      </x:c>
      <x:c r="G217" s="12" t="str">
        <x:v>2026-05-19_CORRECTED</x:v>
      </x:c>
      <x:c r="H217" s="12" t="str">
        <x:v>Official title pages + episode review snippets; see row source_urls</x:v>
      </x:c>
    </x:row>
    <x:row r="218">
      <x:c r="A218" s="12" t="str">
        <x:v>SRC218</x:v>
      </x:c>
      <x:c r="B218" s="12" t="str">
        <x:v>ai.mydramawave.com</x:v>
      </x:c>
      <x:c r="C218" s="12" t="str">
        <x:v>Official AI program context</x:v>
      </x:c>
      <x:c r="D218" s="12" t="str">
        <x:v>A</x:v>
      </x:c>
      <x:c r="E218" s="12" t="str">
        <x:v>03_AIGC_TRACKER</x:v>
      </x:c>
      <x:c r="F218" s="12" t="str">
        <x:v>DramaWave candidate rows</x:v>
      </x:c>
      <x:c r="G218" s="12" t="str">
        <x:v>2026-05-19_CORRECTED</x:v>
      </x:c>
      <x:c r="H218" s="12" t="str">
        <x:v>https://ai.mydramawave.com/</x:v>
      </x:c>
    </x:row>
  </x:sheetData>
  <x:conditionalFormatting sqref="D2:D210">
    <x:cfRule type="expression" dxfId="10" priority="1">
      <x:formula>$D2="A"</x:formula>
    </x:cfRule>
    <x:cfRule type="expression" dxfId="11" priority="2">
      <x:formula>$D2="D"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e6064fd86343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.09000015258789" hidden="0" customWidth="1"/>
    <x:col min="2" max="2" width="60" hidden="0" customWidth="1"/>
    <x:col min="3" max="3" width="48" hidden="0" customWidth="1"/>
    <x:col min="4" max="4" width="50" hidden="0" customWidth="1"/>
    <x:col min="5" max="5" width="35.130001068115234" hidden="0" customWidth="1"/>
  </x:cols>
  <x:sheetData>
    <x:row r="1">
      <x:c r="A1" s="6" t="str">
        <x:v>topic</x:v>
      </x:c>
      <x:c r="B1" s="6" t="str">
        <x:v>finding</x:v>
      </x:c>
      <x:c r="C1" s="6" t="str">
        <x:v>use_in_library</x:v>
      </x:c>
      <x:c r="D1" s="6" t="str">
        <x:v>url</x:v>
      </x:c>
      <x:c r="E1" s="6" t="str">
        <x:v>source_reliability</x:v>
      </x:c>
    </x:row>
    <x:row r="2">
      <x:c r="A2" s="12" t="str">
        <x:v>NetShort AIGC concentration / AI drama market</x:v>
      </x:c>
      <x:c r="B2" s="12" t="str">
        <x:v>DataEye/ThePaper report says 2026 Q1 overseas AI drama/comic-drama ad-material TOP20 included 10 NetShort titles, i.e. 50%; One Move God Mode entered TOP3 and became a key AI-reenactment western-fantasy case.</x:v>
      </x:c>
      <x:c r="C2" s="12" t="str">
        <x:v>NetShort 2026-02~2026-05 should be handled as a separate AIGC/animation-like growth axis, not merely a live-action romance app.</x:v>
      </x:c>
      <x:c r="D2" s="12" t="str">
        <x:v>https://m.thepaper.cn/newsDetail_forward_33102397</x:v>
      </x:c>
      <x:c r="E2" s="12" t="str">
        <x:v>B / industry report republished by ThePaper</x:v>
      </x:c>
    </x:row>
    <x:row r="3">
      <x:c r="A3" s="12" t="str">
        <x:v>DramaWave AI program</x:v>
      </x:c>
      <x:c r="B3" s="12" t="str">
        <x:v>DramaWave official AI Short Drama activity page/rules show a 2026 AI short-drama award/program, supporting treatment of 2026-02~05 DramaWave fantasy/animated-style rows as AI test candidates.</x:v>
      </x:c>
      <x:c r="C3" s="12" t="str">
        <x:v>DramaWave should be used as an AI/animation testbed; do not over-rank it as a mainstream hit source unless a title has strong view/reaction evidence.</x:v>
      </x:c>
      <x:c r="D3" s="12" t="str">
        <x:v>https://ai.mydramawave.com/p/activity/?language=en</x:v>
      </x:c>
      <x:c r="E3" s="12" t="str">
        <x:v>A / official activity page</x:v>
      </x:c>
    </x:row>
    <x:row r="4">
      <x:c r="A4" s="12" t="str">
        <x:v>One Move God Mode official synopsis</x:v>
      </x:c>
      <x:c r="B4" s="12" t="str">
        <x:v>NetShort official/search result identifies the Poseidon-son, farmer humiliation, rusty pitchfork/trident, godlike awakening hook.</x:v>
      </x:c>
      <x:c r="C4" s="12" t="str">
        <x:v>Confirms myth + humiliation + power awakening is a validated AIGC-friendly paid vertical engine.</x:v>
      </x:c>
      <x:c r="D4" s="12" t="str">
        <x:v>https://netshort.com/full-episodes/one-move-god-mode-2039262008318099458</x:v>
      </x:c>
      <x:c r="E4" s="12" t="str">
        <x:v>A / official platform page</x:v>
      </x:c>
    </x:row>
    <x:row r="5">
      <x:c r="A5" s="12" t="str">
        <x:v>The Discarded Ace official synopsis</x:v>
      </x:c>
      <x:c r="B5" s="12" t="str">
        <x:v>NetShort official/search result identifies abandoned heir + gambling master + family guardian / God of Gamblers hook.</x:v>
      </x:c>
      <x:c r="C5" s="12" t="str">
        <x:v>Supports male-targeted skill spectacle and status-reversal slot within NetShort’s AIGC growth cluster.</x:v>
      </x:c>
      <x:c r="D5" s="12" t="str">
        <x:v>https://netshort.com/full-episodes/the-discarded-ace-2041056545067761666</x:v>
      </x:c>
      <x:c r="E5" s="12" t="str">
        <x:v>A / official platform page</x:v>
      </x:c>
    </x:row>
    <x:row r="6">
      <x:c r="A6" s="12" t="str">
        <x:v>Summer Honeymoon with My Secret Billionaire</x:v>
      </x:c>
      <x:c r="B6" s="12" t="str">
        <x:v>DramaBox page lists 57 episodes and confirms wedding-day dumping + janitor-is-billionaire + seven-day flash marriage setup.</x:v>
      </x:c>
      <x:c r="C6" s="12" t="str">
        <x:v>Strong female romance reference for wedding humiliation, hidden billionaire, forced proximity, flash marriage.</x:v>
      </x:c>
      <x:c r="D6" s="12" t="str">
        <x:v>https://www.dramabox.com/drama/41000119524/Summer-Honeymoon-with-My-Secret-Billionaire</x:v>
      </x:c>
      <x:c r="E6" s="12" t="str">
        <x:v>A / official platform page</x:v>
      </x:c>
    </x:row>
    <x:row r="7">
      <x:c r="A7" s="12" t="str">
        <x:v>Blood and Bones of the Disowned Daughter</x:v>
      </x:c>
      <x:c r="B7" s="12" t="str">
        <x:v>GoodShort page confirms true-heiress reveal, framed murder, reform school, forced marriage, and truth-revealing family regret structure.</x:v>
      </x:c>
      <x:c r="C7" s="12" t="str">
        <x:v>Strong female revenge/regret reference; keep as a repeated long-tail benchmark rather than a one-month-only item.</x:v>
      </x:c>
      <x:c r="D7" s="12" t="str">
        <x:v>https://www.goodshort.com/drama/blood-and-bones-of-the-disowned-daughter-31001113972</x:v>
      </x:c>
      <x:c r="E7" s="12" t="str">
        <x:v>A / official platform page</x:v>
      </x:c>
    </x:row>
    <x:row r="8">
      <x:c r="A8" s="12" t="str">
        <x:v>2026-05-19 correction / AIGC taxonomy</x:v>
      </x:c>
      <x:c r="B8" s="12" t="str">
        <x:v>AIGC tracker was rebuilt with three statuses: Direct/Explicit AI, Animation/VFX candidate with production unconfirmed, and AI-theme only. Non-AIGC titles such as Village Fool and The 5-time rejected luna were removed.</x:v>
      </x:c>
      <x:c r="C8" s="12" t="str">
        <x:v>Prevents title/genre-based overclaiming of AIGC.</x:v>
      </x:c>
      <x:c r="D8" s="12" t="str">
        <x:v>Workbook audit + official title checks</x:v>
      </x:c>
      <x:c r="E8" s="12" t="str">
        <x:v>Internal correction</x:v>
      </x:c>
    </x:row>
    <x:row r="9">
      <x:c r="A9" s="12" t="str">
        <x:v>NetShort current trend / user callouts</x:v>
      </x:c>
      <x:c r="B9" s="12" t="str">
        <x:v>All user-callout titles were added or corrected: Wolfless Carpenter, One Move, Lion's Captive, Daughter Dragon, Late Repentance, 5-time Luna, Secrets Under the Skirt, Cry For Losing Me, Alpha Queen, Rusty Ring, Daughter of Zeus.</x:v>
      </x:c>
      <x:c r="C9" s="12" t="str">
        <x:v>NetShort-heavy refresh now aligns with current all-plots/hotseries signals.</x:v>
      </x:c>
      <x:c r="D9" s="12" t="str">
        <x:v>https://netshort.com/drama/all-plots</x:v>
      </x:c>
      <x:c r="E9" s="12" t="str">
        <x:v>A / official platform</x:v>
      </x:c>
    </x:row>
    <x:row r="10">
      <x:c r="A10" s="12" t="str">
        <x:v>NetShort AI evidence / direct group</x:v>
      </x:c>
      <x:c r="B10" s="12" t="str">
        <x:v>One Move God Mode and The Discarded Ace have official NetShort pages plus industry evidence describing them as AI/AI-like NetShort representative cases.</x:v>
      </x:c>
      <x:c r="C10" s="12" t="str">
        <x:v>Direct-AI group stays small and evidence-based.</x:v>
      </x:c>
      <x:c r="D10" s="12" t="str">
        <x:v>https://www.itopmarketing.com/info22317</x:v>
      </x:c>
      <x:c r="E10" s="12" t="str">
        <x:v>B / industry report</x:v>
      </x:c>
    </x:row>
    <x:row r="11">
      <x:c r="A11" s="12" t="str">
        <x:v>NetShort animation/VFX candidate expansion</x:v>
      </x:c>
      <x:c r="B11" s="12" t="str">
        <x:v>Fantasy/system/monster titles were added as candidates only when official pages or episode snippets showed fantasy/animation/VFX relevance; production AIGC remains unconfirmed unless externally reported.</x:v>
      </x:c>
      <x:c r="C11" s="12" t="str">
        <x:v>AIGC tracker grows without claiming unverified production method.</x:v>
      </x:c>
      <x:c r="D11" s="12" t="str">
        <x:v>Multiple NetShort official URLs in source register</x:v>
      </x:c>
      <x:c r="E11" s="12" t="str">
        <x:v>A / official pages</x:v>
      </x:c>
    </x:row>
    <x:row r="12">
      <x:c r="A12" s="12" t="str">
        <x:v>Werewolf / rejected Luna correction</x:v>
      </x:c>
      <x:c r="B12" s="12" t="str">
        <x:v>The 5-time rejected luna and Rejected Luna Is the Alpha Queen are treated as werewolf/rejected-mate trend references, not AIGC.</x:v>
      </x:c>
      <x:c r="C12" s="12" t="str">
        <x:v>Fixes the user's critical classification complaint.</x:v>
      </x:c>
      <x:c r="D12" s="12" t="str">
        <x:v>https://netshort.com/full-episodes/the-5-time-rejected-luna-2048604611983441922</x:v>
      </x:c>
      <x:c r="E12" s="12" t="str">
        <x:v>A / official platform</x:v>
      </x:c>
    </x:row>
  </x:sheetData>
  <x:pageMargins left="0.7" right="0.7" top="0.75" bottom="0.75" header="0.3" footer="0.3"/>
  <x:tableParts count="1">
    <x:tablePart xmlns:r="http://schemas.openxmlformats.org/officeDocument/2006/relationships" r:id="R460ca28404ec41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26" hidden="0" customWidth="1"/>
    <x:col min="5" max="5" width="14" hidden="0" customWidth="1"/>
    <x:col min="6" max="6" width="40" hidden="0" customWidth="1"/>
    <x:col min="7" max="7" width="24" hidden="0" customWidth="1"/>
  </x:cols>
  <x:sheetData>
    <x:row r="1">
      <x:c r="A1" s="6" t="str">
        <x:v>platform</x:v>
      </x:c>
      <x:c r="B1" s="6" t="str">
        <x:v>source_origin</x:v>
      </x:c>
      <x:c r="C1" s="6" t="str">
        <x:v>merge_status</x:v>
      </x:c>
      <x:c r="D1" s="6" t="str">
        <x:v>aigc_status</x:v>
      </x:c>
      <x:c r="E1" s="6" t="str">
        <x:v>priority</x:v>
      </x:c>
      <x:c r="F1" s="6" t="str">
        <x:v>replacement_action</x:v>
      </x:c>
      <x:c r="G1" s="6" t="str">
        <x:v>evidence_tier</x:v>
      </x:c>
    </x:row>
    <x:row r="2">
      <x:c r="A2" s="12" t="str">
        <x:v>ReelShort</x:v>
      </x:c>
      <x:c r="B2" s="12" t="str">
        <x:v>Base_XLSX</x:v>
      </x:c>
      <x:c r="C2" s="12" t="str">
        <x:v>Base only</x:v>
      </x:c>
      <x:c r="D2" s="12" t="str">
        <x:v>Not flagged</x:v>
      </x:c>
      <x:c r="E2" s="12" t="str">
        <x:v>A_Core</x:v>
      </x:c>
      <x:c r="F2" s="12" t="str">
        <x:v>KEEP</x:v>
      </x:c>
      <x:c r="G2" s="12" t="str">
        <x:v>A / Strong verified</x:v>
      </x:c>
    </x:row>
    <x:row r="3">
      <x:c r="A3" s="12" t="str">
        <x:v>DramaBox</x:v>
      </x:c>
      <x:c r="B3" s="12" t="str">
        <x:v>Base+Supplement_DOCX</x:v>
      </x:c>
      <x:c r="C3" s="12" t="str">
        <x:v>Merged / reinforced</x:v>
      </x:c>
      <x:c r="D3" s="12" t="str">
        <x:v>AIGC-friendly genre</x:v>
      </x:c>
      <x:c r="E3" s="12" t="str">
        <x:v>B_Strong</x:v>
      </x:c>
      <x:c r="F3" s="12" t="str">
        <x:v>MERGE_REINFORCE</x:v>
      </x:c>
      <x:c r="G3" s="12" t="str">
        <x:v>B / Useful verified</x:v>
      </x:c>
    </x:row>
    <x:row r="4">
      <x:c r="A4" s="12" t="str">
        <x:v>GoodShort</x:v>
      </x:c>
      <x:c r="B4" s="12" t="str">
        <x:v>Supplement_DOCX</x:v>
      </x:c>
      <x:c r="C4" s="12" t="str">
        <x:v>Not in base same month</x:v>
      </x:c>
      <x:c r="D4" s="12" t="str">
        <x:v>AIGC/Animation candidate</x:v>
      </x:c>
      <x:c r="E4" s="12" t="str">
        <x:v>C_Watch</x:v>
      </x:c>
      <x:c r="F4" s="12" t="str">
        <x:v>POSSIBLE_REPLACE_BY_SUPPLEMENT</x:v>
      </x:c>
      <x:c r="G4" s="12" t="str">
        <x:v>C / Watch</x:v>
      </x:c>
    </x:row>
    <x:row r="5">
      <x:c r="A5" s="12" t="str">
        <x:v>NetShort</x:v>
      </x:c>
      <x:c r="B5" s="12" t="str"/>
      <x:c r="C5" s="12" t="str">
        <x:v>Exists in another month</x:v>
      </x:c>
      <x:c r="D5" s="12" t="str">
        <x:v>AI-theme only</x:v>
      </x:c>
      <x:c r="E5" s="12" t="str">
        <x:v>D_Verify</x:v>
      </x:c>
      <x:c r="F5" s="12" t="str">
        <x:v>WATCH_REPLACE</x:v>
      </x:c>
      <x:c r="G5" s="12" t="str">
        <x:v>D / Needs verification</x:v>
      </x:c>
    </x:row>
    <x:row r="6">
      <x:c r="A6" s="12" t="str">
        <x:v>DramaWave</x:v>
      </x:c>
      <x:c r="B6" s="12" t="str"/>
      <x:c r="C6" s="12" t="str"/>
      <x:c r="D6" s="12" t="str">
        <x:v>Direct/Explicit AI</x:v>
      </x:c>
      <x:c r="E6" s="12" t="str"/>
      <x:c r="F6" s="12" t="str">
        <x:v>ADD_AS_PARALLEL_REFERENCE</x:v>
      </x:c>
      <x:c r="G6" s="12" t="str"/>
    </x:row>
    <x:row r="7">
      <x:c r="A7" s="12" t="str"/>
      <x:c r="B7" s="12" t="str"/>
      <x:c r="C7" s="12" t="str"/>
      <x:c r="D7" s="12" t="str"/>
      <x:c r="E7" s="12" t="str"/>
      <x:c r="F7" s="12" t="str">
        <x:v>ADD_AS_MONTH_REPEAT_OR_REALIGN</x:v>
      </x:c>
      <x:c r="G7" s="12" t="str"/>
    </x:row>
    <x:row r="8">
      <x:c r="A8" s="12" t="str"/>
      <x:c r="B8" s="12" t="str"/>
      <x:c r="C8" s="12" t="str"/>
      <x:c r="D8" s="12" t="str"/>
      <x:c r="E8" s="12" t="str"/>
      <x:c r="F8" s="12" t="str">
        <x:v>ADD_AND_OPTIONALLY_REPLACE_WEAK_SLOT</x:v>
      </x:c>
      <x:c r="G8" s="12" t="str"/>
    </x:row>
  </x:sheetData>
  <x:pageMargins left="0.7" right="0.7" top="0.75" bottom="0.75" header="0.3" footer="0.3"/>
  <x:tableParts count="1">
    <x:tablePart xmlns:r="http://schemas.openxmlformats.org/officeDocument/2006/relationships" r:id="R617e09938cc249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38" hidden="0" customWidth="1"/>
    <x:col min="5" max="5" width="14" hidden="0" customWidth="1"/>
    <x:col min="6" max="6" width="45" hidden="0" customWidth="1"/>
    <x:col min="7" max="7" width="54" hidden="0" customWidth="1"/>
    <x:col min="8" max="8" width="16" hidden="0" customWidth="1"/>
  </x:cols>
  <x:sheetData>
    <x:row r="1" ht="26" customHeight="1">
      <x:c r="A1" s="45" t="str">
        <x:v>2026-05-19 corrected NetShort/AIGC refresh</x:v>
      </x:c>
      <x:c r="B1" s="45"/>
      <x:c r="C1" s="45"/>
      <x:c r="D1" s="45"/>
      <x:c r="E1" s="45"/>
      <x:c r="F1" s="45"/>
      <x:c r="G1" s="45"/>
      <x:c r="H1" s="45"/>
    </x:row>
    <x:row r="3">
      <x:c r="A3" s="49" t="str">
        <x:v>구분</x:v>
      </x:c>
      <x:c r="B3" s="49" t="str">
        <x:v>정정/보강 내용</x:v>
      </x:c>
      <x:c r="C3" s="49" t="str">
        <x:v>수량/범위</x:v>
      </x:c>
      <x:c r="D3" s="49" t="str">
        <x:v>비고</x:v>
      </x:c>
    </x:row>
    <x:row r="4">
      <x:c r="A4" s="12" t="str">
        <x:v>Base reset</x:v>
      </x:c>
      <x:c r="B4" s="12" t="str">
        <x:v>이전 flawed 05-19 enhanced를 재사용하지 않고 2026-05-15 원본에서 재작성</x:v>
      </x:c>
      <x:c r="C4" s="12" t="str">
        <x:v>Original A1:Z288 기준</x:v>
      </x:c>
      <x:c r="D4" s="12" t="str">
        <x:v>오류 누적 방지</x:v>
      </x:c>
    </x:row>
    <x:row r="5">
      <x:c r="A5" s="12" t="str">
        <x:v>NetShort 집중 보강</x:v>
      </x:c>
      <x:c r="B5" s="12" t="str">
        <x:v>01_FINAL_LIBRARY에 5/19 정정 신규 행 추가</x:v>
      </x:c>
      <x:c r="C5" s="12" t="str">
        <x:v>L0288:L0324 / 37 rows</x:v>
      </x:c>
      <x:c r="D5" s="12" t="str">
        <x:v>NetShort 36건 + ReelShort 비교 1건</x:v>
      </x:c>
    </x:row>
    <x:row r="6">
      <x:c r="A6" s="12" t="str">
        <x:v>AIGC 재분류</x:v>
      </x:c>
      <x:c r="B6" s="12" t="str">
        <x:v>03_AIGC_TRACKER 전체 재작성</x:v>
      </x:c>
      <x:c r="C6" s="12" t="str">
        <x:v>42 rows</x:v>
      </x:c>
      <x:c r="D6" s="12" t="str">
        <x:v>Direct / Candidate / AI-theme only 분리</x:v>
      </x:c>
    </x:row>
    <x:row r="7">
      <x:c r="A7" s="12" t="str">
        <x:v>오분류 제거</x:v>
      </x:c>
      <x:c r="B7" s="12" t="str">
        <x:v>Village Fool, The 5-time rejected luna, Secrets Under the Skirt, Cry For Losing Me 등 비AIGC는 tracker 제외</x:v>
      </x:c>
      <x:c r="C7" s="12" t="str">
        <x:v>0 false rows targeted</x:v>
      </x:c>
      <x:c r="D7" s="12" t="str">
        <x:v>Village Fool은 최종 라이브러리에는 trend로만 유지</x:v>
      </x:c>
    </x:row>
    <x:row r="8">
      <x:c r="A8" s="12" t="str">
        <x:v>기존 행 패치</x:v>
      </x:c>
      <x:c r="B8" s="12" t="str">
        <x:v>One Move 직접 AI 근거 보강, 5-time rejected luna 비AIGC 정정, Divorced AI Queen source 보정</x:v>
      </x:c>
      <x:c r="C8" s="12" t="str">
        <x:v>Rows 31,263,264,267,268,270,271,272 and validation rows</x:v>
      </x:c>
      <x:c r="D8" s="12" t="str">
        <x:v>혼합 출처/혼합 메모 수정</x:v>
      </x:c>
    </x:row>
    <x:row r="11">
      <x:c r="A11" s="53" t="str">
        <x:v>User callout title</x:v>
      </x:c>
      <x:c r="B11" s="53" t="str">
        <x:v>Platform</x:v>
      </x:c>
      <x:c r="C11" s="53" t="str">
        <x:v>Workbook action</x:v>
      </x:c>
      <x:c r="D11" s="53" t="str">
        <x:v>AIGC status after correction</x:v>
      </x:c>
      <x:c r="E11" s="53" t="str">
        <x:v>Priority</x:v>
      </x:c>
      <x:c r="F11" s="53" t="str">
        <x:v>Source</x:v>
      </x:c>
    </x:row>
    <x:row r="12">
      <x:c r="A12" s="12" t="str">
        <x:v>The Wolfless Carpenter Rules the World</x:v>
      </x:c>
      <x:c r="B12" s="12" t="str">
        <x:v>NetShort</x:v>
      </x:c>
      <x:c r="C12" s="12" t="str">
        <x:v>Added L0288</x:v>
      </x:c>
      <x:c r="D12" s="12" t="str">
        <x:v>Not flagged</x:v>
      </x:c>
      <x:c r="E12" s="12" t="str">
        <x:v>A_Core</x:v>
      </x:c>
      <x:c r="F12" s="12" t="str">
        <x:v>https://netshort.com/full-episodes/the-wolfless-carpenter-rules-the-world-2050068409881722882</x:v>
      </x:c>
    </x:row>
    <x:row r="13">
      <x:c r="A13" s="12" t="str">
        <x:v>One Move God Mode</x:v>
      </x:c>
      <x:c r="B13" s="12" t="str">
        <x:v>NetShort</x:v>
      </x:c>
      <x:c r="C13" s="12" t="str">
        <x:v>Added/merged L0289 + existing patched</x:v>
      </x:c>
      <x:c r="D13" s="12" t="str">
        <x:v>Direct/Explicit AI</x:v>
      </x:c>
      <x:c r="E13" s="12" t="str">
        <x:v>A_Core</x:v>
      </x:c>
      <x:c r="F13" s="12" t="str">
        <x:v>https://netshort.com/full-episodes/one-move-god-mode-2034157133397753858</x:v>
      </x:c>
    </x:row>
    <x:row r="14">
      <x:c r="A14" s="12" t="str">
        <x:v>The Lion's Captive</x:v>
      </x:c>
      <x:c r="B14" s="12" t="str">
        <x:v>NetShort</x:v>
      </x:c>
      <x:c r="C14" s="12" t="str">
        <x:v>Added L0290</x:v>
      </x:c>
      <x:c r="D14" s="12" t="str">
        <x:v>Not flagged</x:v>
      </x:c>
      <x:c r="E14" s="12" t="str">
        <x:v>A_Core</x:v>
      </x:c>
      <x:c r="F14" s="12" t="str">
        <x:v>https://netshort.com/full-episodes/the-lions-captive-2044271853970653185</x:v>
      </x:c>
    </x:row>
    <x:row r="15">
      <x:c r="A15" s="12" t="str">
        <x:v>The Daughter Who Commands Dragon</x:v>
      </x:c>
      <x:c r="B15" s="12" t="str">
        <x:v>NetShort</x:v>
      </x:c>
      <x:c r="C15" s="12" t="str">
        <x:v>Added L0291</x:v>
      </x:c>
      <x:c r="D15" s="12" t="str">
        <x:v>Animation/VFX candidate; production unconfirmed</x:v>
      </x:c>
      <x:c r="E15" s="12" t="str">
        <x:v>A_Core</x:v>
      </x:c>
      <x:c r="F15" s="12" t="str">
        <x:v>https://netshort.com/episode/the-daughter-who-commands-dragon-2052226077232726017</x:v>
      </x:c>
    </x:row>
    <x:row r="16">
      <x:c r="A16" s="12" t="str">
        <x:v>Your Late Repentance Means Nothing</x:v>
      </x:c>
      <x:c r="B16" s="12" t="str">
        <x:v>NetShort</x:v>
      </x:c>
      <x:c r="C16" s="12" t="str">
        <x:v>Added L0292</x:v>
      </x:c>
      <x:c r="D16" s="12" t="str">
        <x:v>Not flagged</x:v>
      </x:c>
      <x:c r="E16" s="12" t="str">
        <x:v>A_Core</x:v>
      </x:c>
      <x:c r="F16" s="12" t="str">
        <x:v>https://netshort.com/full-episodes/your-late-repentance-means-nothing-2050102017686241281</x:v>
      </x:c>
    </x:row>
    <x:row r="17">
      <x:c r="A17" s="12" t="str">
        <x:v>The 5-time rejected luna</x:v>
      </x:c>
      <x:c r="B17" s="12" t="str">
        <x:v>NetShort</x:v>
      </x:c>
      <x:c r="C17" s="12" t="str">
        <x:v>Added L0293 + existing patched</x:v>
      </x:c>
      <x:c r="D17" s="12" t="str">
        <x:v>Not flagged</x:v>
      </x:c>
      <x:c r="E17" s="12" t="str">
        <x:v>A_Core</x:v>
      </x:c>
      <x:c r="F17" s="12" t="str">
        <x:v>https://netshort.com/full-episodes/the-5-time-rejected-luna-2048604611983441922</x:v>
      </x:c>
    </x:row>
    <x:row r="18">
      <x:c r="A18" s="12" t="str">
        <x:v>Secrets Under the Skirt</x:v>
      </x:c>
      <x:c r="B18" s="12" t="str">
        <x:v>NetShort</x:v>
      </x:c>
      <x:c r="C18" s="12" t="str">
        <x:v>Added L0294</x:v>
      </x:c>
      <x:c r="D18" s="12" t="str">
        <x:v>Not flagged</x:v>
      </x:c>
      <x:c r="E18" s="12" t="str">
        <x:v>A_Core</x:v>
      </x:c>
      <x:c r="F18" s="12" t="str">
        <x:v>https://netshort.com/full-episodes/secrets-under-the-skirt-2038564904679505922</x:v>
      </x:c>
    </x:row>
    <x:row r="19">
      <x:c r="A19" s="12" t="str">
        <x:v>Cry For Losing Me</x:v>
      </x:c>
      <x:c r="B19" s="12" t="str">
        <x:v>NetShort</x:v>
      </x:c>
      <x:c r="C19" s="12" t="str">
        <x:v>Added L0295</x:v>
      </x:c>
      <x:c r="D19" s="12" t="str">
        <x:v>Not flagged</x:v>
      </x:c>
      <x:c r="E19" s="12" t="str">
        <x:v>A_Core</x:v>
      </x:c>
      <x:c r="F19" s="12" t="str">
        <x:v>https://netshort.com/full-episodes/cry-for-losing-me-2054768361190326273</x:v>
      </x:c>
    </x:row>
    <x:row r="20">
      <x:c r="A20" s="12" t="str">
        <x:v>Rejected Luna Is the Alpha Queen</x:v>
      </x:c>
      <x:c r="B20" s="12" t="str">
        <x:v>ReelShort</x:v>
      </x:c>
      <x:c r="C20" s="12" t="str">
        <x:v>Added L0296</x:v>
      </x:c>
      <x:c r="D20" s="12" t="str">
        <x:v>Not flagged</x:v>
      </x:c>
      <x:c r="E20" s="12" t="str">
        <x:v>A_Core</x:v>
      </x:c>
      <x:c r="F20" s="12" t="str">
        <x:v>https://www.reelshort.com/full-episodes/rejected-luna-is-the-alpha-queen-69fa0a977e9368c0730c1459</x:v>
      </x:c>
    </x:row>
    <x:row r="21">
      <x:c r="A21" s="12" t="str">
        <x:v>Rusty Ring To Royal Crown</x:v>
      </x:c>
      <x:c r="B21" s="12" t="str">
        <x:v>NetShort</x:v>
      </x:c>
      <x:c r="C21" s="12" t="str">
        <x:v>Added L0297</x:v>
      </x:c>
      <x:c r="D21" s="12" t="str">
        <x:v>Animation/VFX candidate; production unconfirmed</x:v>
      </x:c>
      <x:c r="E21" s="12" t="str">
        <x:v>A_Core</x:v>
      </x:c>
      <x:c r="F21" s="12" t="str">
        <x:v>https://netshort.com/full-episodes/rusty-ring-to-royal-crown-2053693307476770818</x:v>
      </x:c>
    </x:row>
    <x:row r="22">
      <x:c r="A22" s="12" t="str">
        <x:v>Watch Out! She's the Daughter of Zeus</x:v>
      </x:c>
      <x:c r="B22" s="12" t="str">
        <x:v>NetShort</x:v>
      </x:c>
      <x:c r="C22" s="12" t="str">
        <x:v>Added L0298</x:v>
      </x:c>
      <x:c r="D22" s="12" t="str">
        <x:v>Animation/VFX candidate; production unconfirmed</x:v>
      </x:c>
      <x:c r="E22" s="12" t="str">
        <x:v>A_Core</x:v>
      </x:c>
      <x:c r="F22" s="12" t="str">
        <x:v>https://netshort.com/full-episodes/watch-out-shes-the-daughter-of-zeus-2046485225499787265</x:v>
      </x:c>
    </x:row>
    <x:row r="23">
      <x:c r="A23" s="12" t="str">
        <x:v>(Dubbed) Village Fool? God Mode ON!</x:v>
      </x:c>
      <x:c r="B23" s="12" t="str">
        <x:v>NetShort</x:v>
      </x:c>
      <x:c r="C23" s="12" t="str">
        <x:v>Added L0299 as trend only</x:v>
      </x:c>
      <x:c r="D23" s="12" t="str">
        <x:v>Not flagged</x:v>
      </x:c>
      <x:c r="E23" s="12" t="str">
        <x:v>A_Core</x:v>
      </x:c>
      <x:c r="F23" s="12" t="str">
        <x:v>https://netshort.com/hotseries/dubbed-village-fool-god-mode-on-2053002755154763777</x:v>
      </x:c>
    </x:row>
    <x:row r="27">
      <x:c r="A27" s="57" t="str">
        <x:v>AIGC bucket</x:v>
      </x:c>
      <x:c r="B27" s="57" t="str">
        <x:v>Definition used in corrected file</x:v>
      </x:c>
      <x:c r="C27" s="57" t="str">
        <x:v>Examples</x:v>
      </x:c>
      <x:c r="D27" s="57" t="str">
        <x:v>Action</x:v>
      </x:c>
    </x:row>
    <x:row r="28">
      <x:c r="A28" s="12" t="str">
        <x:v>Direct/Explicit AI</x:v>
      </x:c>
      <x:c r="B28" s="12" t="str">
        <x:v>외부 산업 보고서/공식 프로그램 등에서 AI 제작·AI 대표작 근거가 있는 행</x:v>
      </x:c>
      <x:c r="C28" s="12" t="str">
        <x:v>One Move God Mode; The Discarded Ace; 說好的乙遊戀愛呢？執事怎麼全員黑化了！</x:v>
      </x:c>
      <x:c r="D28" s="12" t="str">
        <x:v>AIGC 핵심군 유지</x:v>
      </x:c>
    </x:row>
    <x:row r="29">
      <x:c r="A29" s="12" t="str">
        <x:v>Animation/VFX candidate; production unconfirmed</x:v>
      </x:c>
      <x:c r="B29" s="12" t="str">
        <x:v>공식 페이지에서 판타지·시스템·몬스터·애니메이션/시각효과 신호가 있으나 제작방식은 미확정</x:v>
      </x:c>
      <x:c r="C29" s="12" t="str">
        <x:v>Daughter Dragon; Rusty Ring; Daughter of Zeus; Ghouls; F Rank; Trash Dragon</x:v>
      </x:c>
      <x:c r="D29" s="12" t="str">
        <x:v>후보군으로 확대하되 과장 금지</x:v>
      </x:c>
    </x:row>
    <x:row r="30">
      <x:c r="A30" s="12" t="str">
        <x:v>AI-theme only</x:v>
      </x:c>
      <x:c r="B30" s="12" t="str">
        <x:v>작품 내 소재가 AI/AI genius일 뿐 제작 AIGC 근거가 없는 행</x:v>
      </x:c>
      <x:c r="C30" s="12" t="str">
        <x:v>Divorced &amp; Unmasked: The AI Queen Rules</x:v>
      </x:c>
      <x:c r="D30" s="12" t="str">
        <x:v>production-AIGC와 분리</x:v>
      </x:c>
    </x:row>
    <x:row r="31">
      <x:c r="A31" s="12" t="str">
        <x:v>Not flagged</x:v>
      </x:c>
      <x:c r="B31" s="12" t="str">
        <x:v>실사 멜로/후회/로맨스/패밀리/늑대인간 등 제작 AIGC 근거가 없는 행</x:v>
      </x:c>
      <x:c r="C31" s="12" t="str">
        <x:v>5-time rejected luna; Village Fool; Cry For Losing Me; Secrets Under the Skirt</x:v>
      </x:c>
      <x:c r="D31" s="12" t="str">
        <x:v>AIGC tracker 제외</x:v>
      </x:c>
    </x:row>
    <x:row r="35">
      <x:c r="A35" s="61" t="str">
        <x:v>library_id</x:v>
      </x:c>
      <x:c r="B35" s="61" t="str">
        <x:v>title</x:v>
      </x:c>
      <x:c r="C35" s="61" t="str">
        <x:v>platform</x:v>
      </x:c>
      <x:c r="D35" s="61" t="str">
        <x:v>aigc_status</x:v>
      </x:c>
      <x:c r="E35" s="61" t="str">
        <x:v>priority</x:v>
      </x:c>
      <x:c r="F35" s="61" t="str">
        <x:v>genre_trope</x:v>
      </x:c>
      <x:c r="G35" s="61" t="str">
        <x:v>source_urls</x:v>
      </x:c>
    </x:row>
    <x:row r="36">
      <x:c r="A36" s="12" t="str">
        <x:v>L0288</x:v>
      </x:c>
      <x:c r="B36" s="12" t="str">
        <x:v>The Wolfless Carpenter Rules the World</x:v>
      </x:c>
      <x:c r="C36" s="12" t="str">
        <x:v>NetShort</x:v>
      </x:c>
      <x:c r="D36" s="12" t="str">
        <x:v>Not flagged</x:v>
      </x:c>
      <x:c r="E36" s="12" t="str">
        <x:v>A_Core</x:v>
      </x:c>
      <x:c r="F36" s="12" t="str">
        <x:v>Underdog Rise / Karma Payback / Hidden heir / Wolfless-to-king</x:v>
      </x:c>
      <x:c r="G36" s="12" t="str">
        <x:v>https://netshort.com/full-episodes/the-wolfless-carpenter-rules-the-world-2050068409881722882
https://netshort.com/blog/the-wolfless-carpenter-rules-the-world-watch-online-the-most-satisfying-hidde-2050131933584687105
https://netshort.com/drama/all-plots</x:v>
      </x:c>
    </x:row>
    <x:row r="37">
      <x:c r="A37" s="12" t="str">
        <x:v>L0289</x:v>
      </x:c>
      <x:c r="B37" s="12" t="str">
        <x:v>One Move God Mode</x:v>
      </x:c>
      <x:c r="C37" s="12" t="str">
        <x:v>NetShort</x:v>
      </x:c>
      <x:c r="D37" s="12" t="str">
        <x:v>Direct/Explicit AI</x:v>
      </x:c>
      <x:c r="E37" s="12" t="str">
        <x:v>A_Core</x:v>
      </x:c>
      <x:c r="F37" s="12" t="str">
        <x:v>Urban Fantasy / Underdog Rise / Greek myth / God-blood</x:v>
      </x:c>
      <x:c r="G37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</x:row>
    <x:row r="38">
      <x:c r="A38" s="12" t="str">
        <x:v>L0290</x:v>
      </x:c>
      <x:c r="B38" s="12" t="str">
        <x:v>The Lion's Captive</x:v>
      </x:c>
      <x:c r="C38" s="12" t="str">
        <x:v>NetShort</x:v>
      </x:c>
      <x:c r="D38" s="12" t="str">
        <x:v>Not flagged</x:v>
      </x:c>
      <x:c r="E38" s="12" t="str">
        <x:v>A_Core</x:v>
      </x:c>
      <x:c r="F38" s="12" t="str">
        <x:v>Fantasy Romance / Flash Marriage / Captive bride / Beast empire</x:v>
      </x:c>
      <x:c r="G38" s="12" t="str">
        <x:v>https://netshort.com/full-episodes/the-lions-captive-2044271853970653185
https://netshort.com/blog/the-lions-captive-watch-online-a-dangerous-love-wrapped-in-power-and-desire-2044666487486021634
https://netshort.com/drama/all-plots</x:v>
      </x:c>
    </x:row>
    <x:row r="39">
      <x:c r="A39" s="12" t="str">
        <x:v>L0291</x:v>
      </x:c>
      <x:c r="B39" s="12" t="str">
        <x:v>The Daughter Who Commands Dragon</x:v>
      </x:c>
      <x:c r="C39" s="12" t="str">
        <x:v>NetShort</x:v>
      </x:c>
      <x:c r="D39" s="12" t="str">
        <x:v>Animation/VFX candidate; production AIGC unconfirmed</x:v>
      </x:c>
      <x:c r="E39" s="12" t="str">
        <x:v>A_Core</x:v>
      </x:c>
      <x:c r="F39" s="12" t="str">
        <x:v>Female Empowerment / Underdog Rise / Dragon magic / Patriarchal revenge</x:v>
      </x:c>
      <x:c r="G39" s="12" t="str">
        <x:v>https://netshort.com/episode/the-daughter-who-commands-dragon-2052226077232726017
https://netshort.com/hotseries/the-daughter-who-commands-dragon-2052226077232726017
https://netshort.com/drama/all-plots</x:v>
      </x:c>
    </x:row>
    <x:row r="40">
      <x:c r="A40" s="12" t="str">
        <x:v>L0292</x:v>
      </x:c>
      <x:c r="B40" s="12" t="str">
        <x:v>Your Late Repentance Means Nothing</x:v>
      </x:c>
      <x:c r="C40" s="12" t="str">
        <x:v>NetShort</x:v>
      </x:c>
      <x:c r="D40" s="12" t="str">
        <x:v>Not flagged</x:v>
      </x:c>
      <x:c r="E40" s="12" t="str">
        <x:v>A_Core</x:v>
      </x:c>
      <x:c r="F40" s="12" t="str">
        <x:v>Karma Payback / All-Too-Late / Stolen credit / Irreversible regret</x:v>
      </x:c>
      <x:c r="G40" s="12" t="str">
        <x:v>https://netshort.com/full-episodes/your-late-repentance-means-nothing-2050102017686241281
https://netshort.com/blog/your-late-repentance-means-nothing-online-watch-when-regret-comes-too-late-2050130222707113986</x:v>
      </x:c>
    </x:row>
    <x:row r="41">
      <x:c r="A41" s="12" t="str">
        <x:v>L0293</x:v>
      </x:c>
      <x:c r="B41" s="12" t="str">
        <x:v>The 5-time rejected luna</x:v>
      </x:c>
      <x:c r="C41" s="12" t="str">
        <x:v>NetShort</x:v>
      </x:c>
      <x:c r="D41" s="12" t="str">
        <x:v>Not flagged</x:v>
      </x:c>
      <x:c r="E41" s="12" t="str">
        <x:v>A_Core</x:v>
      </x:c>
      <x:c r="F41" s="12" t="str">
        <x:v>Rejected Luna / Mate regret / Mistaken identity / No-second-chance</x:v>
      </x:c>
      <x:c r="G41" s="12" t="str">
        <x:v>https://netshort.com/full-episodes/the-5-time-rejected-luna-2048604611983441922
https://netshort.com/hotseries/the-5-time-rejected-luna-2048604611983441922</x:v>
      </x:c>
    </x:row>
    <x:row r="42">
      <x:c r="A42" s="12" t="str">
        <x:v>L0294</x:v>
      </x:c>
      <x:c r="B42" s="12" t="str">
        <x:v>Secrets Under the Skirt</x:v>
      </x:c>
      <x:c r="C42" s="12" t="str">
        <x:v>NetShort</x:v>
      </x:c>
      <x:c r="D42" s="12" t="str">
        <x:v>Not flagged</x:v>
      </x:c>
      <x:c r="E42" s="12" t="str">
        <x:v>A_Core</x:v>
      </x:c>
      <x:c r="F42" s="12" t="str">
        <x:v>Modern Romance / Karma Payback / Heiress return / Contract marriage</x:v>
      </x:c>
      <x:c r="G42" s="12" t="str">
        <x:v>https://netshort.com/full-episodes/secrets-under-the-skirt-2038564904679505922
https://netshort.com/hotseries/secrets-under-the-skirt-2038564904679505922</x:v>
      </x:c>
    </x:row>
    <x:row r="43">
      <x:c r="A43" s="12" t="str">
        <x:v>L0295</x:v>
      </x:c>
      <x:c r="B43" s="12" t="str">
        <x:v>Cry For Losing Me</x:v>
      </x:c>
      <x:c r="C43" s="12" t="str">
        <x:v>NetShort</x:v>
      </x:c>
      <x:c r="D43" s="12" t="str">
        <x:v>Not flagged</x:v>
      </x:c>
      <x:c r="E43" s="12" t="str">
        <x:v>A_Core</x:v>
      </x:c>
      <x:c r="F43" s="12" t="str">
        <x:v>Female Empowerment / Karma Payback / Marriage swap / Human shield</x:v>
      </x:c>
      <x:c r="G43" s="12" t="str">
        <x:v>https://netshort.com/full-episodes/cry-for-losing-me-2054768361190326273
https://netshort.com/hotseries/cry-for-losing-me-2054768361190326273
https://netshort.com/drama/all-plots</x:v>
      </x:c>
    </x:row>
    <x:row r="44">
      <x:c r="A44" s="12" t="str">
        <x:v>L0297</x:v>
      </x:c>
      <x:c r="B44" s="12" t="str">
        <x:v>Rusty Ring To Royal Crown</x:v>
      </x:c>
      <x:c r="C44" s="12" t="str">
        <x:v>NetShort</x:v>
      </x:c>
      <x:c r="D44" s="12" t="str">
        <x:v>Animation/VFX candidate; production AIGC unconfirmed</x:v>
      </x:c>
      <x:c r="E44" s="12" t="str">
        <x:v>A_Core</x:v>
      </x:c>
      <x:c r="F44" s="12" t="str">
        <x:v>Rebirth / Karma Payback / Elf king reveal / Hidden royalty</x:v>
      </x:c>
      <x:c r="G44" s="12" t="str">
        <x:v>https://netshort.com/full-episodes/rusty-ring-to-royal-crown-2053693307476770818
https://netshort.com/hotseries/rusty-ring-to-royal-crown-2053693307476770818</x:v>
      </x:c>
    </x:row>
    <x:row r="45">
      <x:c r="A45" s="12" t="str">
        <x:v>L0298</x:v>
      </x:c>
      <x:c r="B45" s="12" t="str">
        <x:v>Watch Out! She's the Daughter of Zeus</x:v>
      </x:c>
      <x:c r="C45" s="12" t="str">
        <x:v>NetShort</x:v>
      </x:c>
      <x:c r="D45" s="12" t="str">
        <x:v>Animation/VFX candidate; production AIGC unconfirmed</x:v>
      </x:c>
      <x:c r="E45" s="12" t="str">
        <x:v>A_Core</x:v>
      </x:c>
      <x:c r="F45" s="12" t="str">
        <x:v>Greek myth / Daughter of Zeus / Betrayed goddess / Crowned weak husband</x:v>
      </x:c>
      <x:c r="G45" s="12" t="str">
        <x:v>https://netshort.com/full-episodes/watch-out-shes-the-daughter-of-zeus-2046485225499787265
https://netshort.com/hotseries/watch-out-shes-the-daughter-of-zeus-2046485225499787265</x:v>
      </x:c>
    </x:row>
    <x:row r="46">
      <x:c r="A46" s="12" t="str">
        <x:v>L0299</x:v>
      </x:c>
      <x:c r="B46" s="12" t="str">
        <x:v>(Dubbed) Village Fool? God Mode ON!</x:v>
      </x:c>
      <x:c r="C46" s="12" t="str">
        <x:v>NetShort</x:v>
      </x:c>
      <x:c r="D46" s="12" t="str">
        <x:v>Dubbed/live-action or format not confirmed; AIGC not flagged</x:v>
      </x:c>
      <x:c r="E46" s="12" t="str">
        <x:v>A_Core</x:v>
      </x:c>
      <x:c r="F46" s="12" t="str">
        <x:v>Urban Fantasy / Underdog Rise / Village fool / Hidden power</x:v>
      </x:c>
      <x:c r="G46" s="12" t="str">
        <x:v>https://netshort.com/hotseries/dubbed-village-fool-god-mode-on-2053002755154763777
https://netshort.com/episode/dubbed-village-fool-god-mode-on-2053002755154763777
https://netshort.com/drama/all-plots</x:v>
      </x:c>
    </x:row>
    <x:row r="47">
      <x:c r="A47" s="12" t="str">
        <x:v>L0300</x:v>
      </x:c>
      <x:c r="B47" s="12" t="str">
        <x:v>The Discarded Ace</x:v>
      </x:c>
      <x:c r="C47" s="12" t="str">
        <x:v>NetShort</x:v>
      </x:c>
      <x:c r="D47" s="12" t="str">
        <x:v>Direct external evidence says AI/AI-like production; NetShort official title verified</x:v>
      </x:c>
      <x:c r="E47" s="12" t="str">
        <x:v>A_Core</x:v>
      </x:c>
      <x:c r="F47" s="12" t="str">
        <x:v>Gambling / Outcast heir / Stunt fantasy / Family guardian</x:v>
      </x:c>
      <x:c r="G47" s="12" t="str">
        <x:v>https://netshort.com/full-episodes/the-discarded-ace-2041056545067761666
https://www.itopmarketing.com/info22317</x:v>
      </x:c>
    </x:row>
    <x:row r="48">
      <x:c r="A48" s="12" t="str">
        <x:v>L0301</x:v>
      </x:c>
      <x:c r="B48" s="12" t="str">
        <x:v>Go Ahead, Ghouls, Hit Me</x:v>
      </x:c>
      <x:c r="C48" s="12" t="str">
        <x:v>NetShort</x:v>
      </x:c>
      <x:c r="D48" s="12" t="str">
        <x:v>Animation/VFX candidate; production AIGC unconfirmed</x:v>
      </x:c>
      <x:c r="E48" s="12" t="str">
        <x:v>A_Core</x:v>
      </x:c>
      <x:c r="F48" s="12" t="str">
        <x:v>Urban Fantasy / Underdog Rise / Ghoul / System rewards</x:v>
      </x:c>
      <x:c r="G48" s="12" t="str">
        <x:v>https://netshort.com/full-episodes/go-ahead-ghouls-hit-me-2053776632522473473
https://netshort.com/hotseries/go-ahead-ghouls-hit-me-2053776632522473473</x:v>
      </x:c>
    </x:row>
    <x:row r="49">
      <x:c r="A49" s="12" t="str">
        <x:v>L0302</x:v>
      </x:c>
      <x:c r="B49" s="12" t="str">
        <x:v>I AM THE LAST SAVIOR</x:v>
      </x:c>
      <x:c r="C49" s="12" t="str">
        <x:v>NetShort</x:v>
      </x:c>
      <x:c r="D49" s="12" t="str">
        <x:v>Animation/VFX candidate; production AIGC unconfirmed</x:v>
      </x:c>
      <x:c r="E49" s="12" t="str">
        <x:v>A_Core</x:v>
      </x:c>
      <x:c r="F49" s="12" t="str">
        <x:v>Sci-Fi / Karma Payback / Hidden war lord / Family reunion</x:v>
      </x:c>
      <x:c r="G49" s="12" t="str">
        <x:v>https://netshort.com/full-episodes/i-am-the-last-savior-2054765358626504705
https://netshort.com/hotseries/i-am-the-last-savior-2054765358626504705
https://netshort.com/drama/all-plots</x:v>
      </x:c>
    </x:row>
    <x:row r="50">
      <x:c r="A50" s="12" t="str">
        <x:v>L0303</x:v>
      </x:c>
      <x:c r="B50" s="12" t="str">
        <x:v>They See Terror, I See Beauties!</x:v>
      </x:c>
      <x:c r="C50" s="12" t="str">
        <x:v>NetShort</x:v>
      </x:c>
      <x:c r="D50" s="12" t="str">
        <x:v>Animation/VFX candidate; production AIGC unconfirmed</x:v>
      </x:c>
      <x:c r="E50" s="12" t="str">
        <x:v>A_Core</x:v>
      </x:c>
      <x:c r="F50" s="12" t="str">
        <x:v>Fantasy World / Ghost world / Horror comedy / Beauty conversion</x:v>
      </x:c>
      <x:c r="G50" s="12" t="str">
        <x:v>https://netshort.com/full-episodes/they-see-terror-i-see-beauties-2054045783550853122
https://netshort.com/drama/all-plots</x:v>
      </x:c>
    </x:row>
    <x:row r="51">
      <x:c r="A51" s="12" t="str">
        <x:v>L0304</x:v>
      </x:c>
      <x:c r="B51" s="12" t="str">
        <x:v>F Rank? I Got a God-Tier System!</x:v>
      </x:c>
      <x:c r="C51" s="12" t="str">
        <x:v>NetShort</x:v>
      </x:c>
      <x:c r="D51" s="12" t="str">
        <x:v>Animation/VFX candidate; production AIGC unconfirmed</x:v>
      </x:c>
      <x:c r="E51" s="12" t="str">
        <x:v>A_Core</x:v>
      </x:c>
      <x:c r="F51" s="12" t="str">
        <x:v>Life OL / Monster apocalypse / God-tier system / Ex regret</x:v>
      </x:c>
      <x:c r="G51" s="12" t="str">
        <x:v>https://netshort.com/full-episodes/f-rank-i-got-a-god-tier-system-2045675333096570882</x:v>
      </x:c>
    </x:row>
    <x:row r="52">
      <x:c r="A52" s="12" t="str">
        <x:v>L0305</x:v>
      </x:c>
      <x:c r="B52" s="12" t="str">
        <x:v>Reborn as Zombie: I Devour All</x:v>
      </x:c>
      <x:c r="C52" s="12" t="str">
        <x:v>NetShort</x:v>
      </x:c>
      <x:c r="D52" s="12" t="str">
        <x:v>Animation/VFX candidate; production AIGC unconfirmed</x:v>
      </x:c>
      <x:c r="E52" s="12" t="str">
        <x:v>A_Core</x:v>
      </x:c>
      <x:c r="F52" s="12" t="str">
        <x:v>Rebirth / Apocalypse / Infinite devour system / Undead king</x:v>
      </x:c>
      <x:c r="G52" s="12" t="str">
        <x:v>https://netshort.com/full-episodes/reborn-as-zombie-i-devour-all-2042486566856687618</x:v>
      </x:c>
    </x:row>
    <x:row r="53">
      <x:c r="A53" s="12" t="str">
        <x:v>L0306</x:v>
      </x:c>
      <x:c r="B53" s="12" t="str">
        <x:v>A Pet Turtle? The Supreme Beast!</x:v>
      </x:c>
      <x:c r="C53" s="12" t="str">
        <x:v>NetShort</x:v>
      </x:c>
      <x:c r="D53" s="12" t="str">
        <x:v>Animation/VFX candidate; production AIGC unconfirmed</x:v>
      </x:c>
      <x:c r="E53" s="12" t="str">
        <x:v>A_Core</x:v>
      </x:c>
      <x:c r="F53" s="12" t="str">
        <x:v>Eastern Fantasy / Underdog Rise / Beast taming / Sister rescue</x:v>
      </x:c>
      <x:c r="G53" s="12" t="str">
        <x:v>https://netshort.com/episode/a-pet-turtle-the-supreme-beast-2043959891072122881</x:v>
      </x:c>
    </x:row>
    <x:row r="54">
      <x:c r="A54" s="12" t="str">
        <x:v>L0307</x:v>
      </x:c>
      <x:c r="B54" s="12" t="str">
        <x:v>Wait, I Reborn as a Pet Lizard?</x:v>
      </x:c>
      <x:c r="C54" s="12" t="str">
        <x:v>NetShort</x:v>
      </x:c>
      <x:c r="D54" s="12" t="str">
        <x:v>Animation/VFX candidate; production AIGC unconfirmed</x:v>
      </x:c>
      <x:c r="E54" s="12" t="str">
        <x:v>A_Core</x:v>
      </x:c>
      <x:c r="F54" s="12" t="str">
        <x:v>Rebirth / Dragon king / Pet lizard / Soul transfer</x:v>
      </x:c>
      <x:c r="G54" s="12" t="str">
        <x:v>https://netshort.com/full-episodes/wait-i-reborn-as-a-pet-lizard-2044316729676398593</x:v>
      </x:c>
    </x:row>
    <x:row r="55">
      <x:c r="A55" s="12" t="str">
        <x:v>L0308</x:v>
      </x:c>
      <x:c r="B55" s="12" t="str">
        <x:v>Death Game? Watch Me WIN!</x:v>
      </x:c>
      <x:c r="C55" s="12" t="str">
        <x:v>NetShort</x:v>
      </x:c>
      <x:c r="D55" s="12" t="str">
        <x:v>Animation/VFX candidate; production AIGC unconfirmed</x:v>
      </x:c>
      <x:c r="E55" s="12" t="str">
        <x:v>A_Core</x:v>
      </x:c>
      <x:c r="F55" s="12" t="str">
        <x:v>Dark fantasy / Global death game / Monster survival / Genius counterplay</x:v>
      </x:c>
      <x:c r="G55" s="12" t="str">
        <x:v>https://netshort.com/full-episodes/death-game-watch-me-win-2051566549088600065</x:v>
      </x:c>
    </x:row>
    <x:row r="56">
      <x:c r="A56" s="12" t="str">
        <x:v>L0309</x:v>
      </x:c>
      <x:c r="B56" s="12" t="str">
        <x:v>Trash Dragon Ate the World!</x:v>
      </x:c>
      <x:c r="C56" s="12" t="str">
        <x:v>NetShort</x:v>
      </x:c>
      <x:c r="D56" s="12" t="str">
        <x:v>Animation/VFX candidate; production AIGC unconfirmed</x:v>
      </x:c>
      <x:c r="E56" s="12" t="str">
        <x:v>A_Core</x:v>
      </x:c>
      <x:c r="F56" s="12" t="str">
        <x:v>Dragon / Pet evolution / School beauty / Karma Payback</x:v>
      </x:c>
      <x:c r="G56" s="12" t="str">
        <x:v>https://netshort.com/full-episodes/trash-dragon-ate-the-world-2046488704607846402</x:v>
      </x:c>
    </x:row>
    <x:row r="57">
      <x:c r="A57" s="12" t="str">
        <x:v>L0310</x:v>
      </x:c>
      <x:c r="B57" s="12" t="str">
        <x:v>I Rule the World with a Hot Spring System!</x:v>
      </x:c>
      <x:c r="C57" s="12" t="str">
        <x:v>NetShort</x:v>
      </x:c>
      <x:c r="D57" s="12" t="str">
        <x:v>Animation/VFX candidate; production AIGC unconfirmed</x:v>
      </x:c>
      <x:c r="E57" s="12" t="str">
        <x:v>A_Core</x:v>
      </x:c>
      <x:c r="F57" s="12" t="str">
        <x:v>Urban Fantasy / Frozen apocalypse / Hot spring system / Luxury revenge</x:v>
      </x:c>
      <x:c r="G57" s="12" t="str">
        <x:v>https://netshort.com/full-episodes/i-rule-the-world-with-a-hot-spring-system-2051565339421966337</x:v>
      </x:c>
    </x:row>
    <x:row r="58">
      <x:c r="A58" s="12" t="str">
        <x:v>L0311</x:v>
      </x:c>
      <x:c r="B58" s="12" t="str">
        <x:v>The ONLY Girl In A World Of Beasts</x:v>
      </x:c>
      <x:c r="C58" s="12" t="str">
        <x:v>NetShort</x:v>
      </x:c>
      <x:c r="D58" s="12" t="str">
        <x:v>Animation/VFX candidate; production AIGC unconfirmed</x:v>
      </x:c>
      <x:c r="E58" s="12" t="str">
        <x:v>A_Core</x:v>
      </x:c>
      <x:c r="F58" s="12" t="str">
        <x:v>Immortal Love / Beast world / Rare female / Alpha kings</x:v>
      </x:c>
      <x:c r="G58" s="12" t="str">
        <x:v>https://netshort.com/full-episodes/the-only-girl-in-a-world-of-beasts-2046513782586343426</x:v>
      </x:c>
    </x:row>
    <x:row r="59">
      <x:c r="A59" s="12" t="str">
        <x:v>L0312</x:v>
      </x:c>
      <x:c r="B59" s="12" t="str">
        <x:v>Mountain Saint, Underworld King</x:v>
      </x:c>
      <x:c r="C59" s="12" t="str">
        <x:v>NetShort</x:v>
      </x:c>
      <x:c r="D59" s="12" t="str">
        <x:v>Live-action/action fantasy; AIGC not flagged</x:v>
      </x:c>
      <x:c r="E59" s="12" t="str">
        <x:v>A_Core</x:v>
      </x:c>
      <x:c r="F59" s="12" t="str">
        <x:v>Taoist descent / Underworld empire / Widows / Power inheritance</x:v>
      </x:c>
      <x:c r="G59" s="12" t="str">
        <x:v>https://netshort.com/full-episodes/mountain-saint-underworld-king-2051586701519749122</x:v>
      </x:c>
    </x:row>
    <x:row r="60">
      <x:c r="A60" s="12" t="str">
        <x:v>L0313</x:v>
      </x:c>
      <x:c r="B60" s="12" t="str">
        <x:v>After My Slumber, Gods Repent</x:v>
      </x:c>
      <x:c r="C60" s="12" t="str">
        <x:v>NetShort</x:v>
      </x:c>
      <x:c r="D60" s="12" t="str">
        <x:v>Animation/VFX candidate; production AIGC unconfirmed</x:v>
      </x:c>
      <x:c r="E60" s="12" t="str">
        <x:v>A_Core</x:v>
      </x:c>
      <x:c r="F60" s="12" t="str">
        <x:v>Asgard / Sibling regret / World Tree sacrifice</x:v>
      </x:c>
      <x:c r="G60" s="12" t="str">
        <x:v>https://netshort.com/full-episodes/after-my-slumber-gods-repent-2052962354697601026
https://netshort.com/hotseries/after-my-slumber-gods-repent-2052962354697601026</x:v>
      </x:c>
    </x:row>
    <x:row r="61">
      <x:c r="A61" s="12" t="str">
        <x:v>L0314</x:v>
      </x:c>
      <x:c r="B61" s="12" t="str">
        <x:v>Divorced &amp; Unmasked: The AI Queen Rules</x:v>
      </x:c>
      <x:c r="C61" s="12" t="str">
        <x:v>NetShort</x:v>
      </x:c>
      <x:c r="D61" s="12" t="str">
        <x:v>AI-theme only; production AIGC unconfirmed</x:v>
      </x:c>
      <x:c r="E61" s="12" t="str">
        <x:v>B_Strong</x:v>
      </x:c>
      <x:c r="F61" s="12" t="str">
        <x:v>Rebirth / Love After Divorce / AI genius / CEO rival marriage</x:v>
      </x:c>
      <x:c r="G61" s="12" t="str">
        <x:v>https://netshort.com/full-episodes/divorced-unmasked-the-ai-queen-rules-2014152893217890306</x:v>
      </x:c>
    </x:row>
    <x:row r="62">
      <x:c r="A62" s="12" t="str">
        <x:v>L0315</x:v>
      </x:c>
      <x:c r="B62" s="12" t="str">
        <x:v>Hidden Wolf King：A Hybrid Loser</x:v>
      </x:c>
      <x:c r="C62" s="12" t="str">
        <x:v>NetShort</x:v>
      </x:c>
      <x:c r="D62" s="12" t="str">
        <x:v>Live-action/werewolf fantasy; AIGC not flagged</x:v>
      </x:c>
      <x:c r="E62" s="12" t="str">
        <x:v>B_Strong</x:v>
      </x:c>
      <x:c r="F62" s="12" t="str">
        <x:v>Werewolf / Hybrid loser / Hidden savior</x:v>
      </x:c>
      <x:c r="G62" s="12" t="str">
        <x:v>https://netshort.com/full-episodes/hidden-wolf-kinga-hybrid-loser-1986749243246444546</x:v>
      </x:c>
    </x:row>
    <x:row r="63">
      <x:c r="A63" s="12" t="str">
        <x:v>L0316</x:v>
      </x:c>
      <x:c r="B63" s="12" t="str">
        <x:v>Tame the Devils or Die: The Villainess's Revenge</x:v>
      </x:c>
      <x:c r="C63" s="12" t="str">
        <x:v>NetShort</x:v>
      </x:c>
      <x:c r="D63" s="12" t="str">
        <x:v>Animation/VFX candidate; production AIGC unconfirmed</x:v>
      </x:c>
      <x:c r="E63" s="12" t="str">
        <x:v>A_Core</x:v>
      </x:c>
      <x:c r="F63" s="12" t="str">
        <x:v>Otome game / Villainess / Devil butlers / Dark value system</x:v>
      </x:c>
      <x:c r="G63" s="12" t="str">
        <x:v>https://netshort.com/full-episodes/tame-the-devils-or-die-the-villainesss-revenge-2021762099012669441</x:v>
      </x:c>
    </x:row>
    <x:row r="64">
      <x:c r="A64" s="12" t="str">
        <x:v>L0317</x:v>
      </x:c>
      <x:c r="B64" s="12" t="str">
        <x:v>Hurt Me? I'll Seal Your Doom</x:v>
      </x:c>
      <x:c r="C64" s="12" t="str">
        <x:v>NetShort</x:v>
      </x:c>
      <x:c r="D64" s="12" t="str">
        <x:v>Live-action revenge; AIGC not flagged</x:v>
      </x:c>
      <x:c r="E64" s="12" t="str">
        <x:v>B_Strong</x:v>
      </x:c>
      <x:c r="F64" s="12" t="str">
        <x:v>Karma Payback / Revenge / Assault trauma / Doom sealing</x:v>
      </x:c>
      <x:c r="G64" s="12" t="str">
        <x:v>https://netshort.com/full-episodes/hurt-me-ill-seal-your-doom-2054032705056669697</x:v>
      </x:c>
    </x:row>
    <x:row r="65">
      <x:c r="A65" s="12" t="str">
        <x:v>L0318</x:v>
      </x:c>
      <x:c r="B65" s="12" t="str">
        <x:v>The Eunuch I Married</x:v>
      </x:c>
      <x:c r="C65" s="12" t="str">
        <x:v>NetShort</x:v>
      </x:c>
      <x:c r="D65" s="12" t="str">
        <x:v>Historical live-action; AIGC not flagged</x:v>
      </x:c>
      <x:c r="E65" s="12" t="str">
        <x:v>B_Strong</x:v>
      </x:c>
      <x:c r="F65" s="12" t="str">
        <x:v>Historical Romance / Revenge marriage / Secret decree / Court eunuch</x:v>
      </x:c>
      <x:c r="G65" s="12" t="str">
        <x:v>https://netshort.com/full-episodes/the-eunuch-i-married-2053376678415040514</x:v>
      </x:c>
    </x:row>
    <x:row r="66">
      <x:c r="A66" s="12" t="str">
        <x:v>L0319</x:v>
      </x:c>
      <x:c r="B66" s="12" t="str">
        <x:v>Dog Suit Affair: How to Train a Side Chick</x:v>
      </x:c>
      <x:c r="C66" s="12" t="str">
        <x:v>NetShort</x:v>
      </x:c>
      <x:c r="D66" s="12" t="str">
        <x:v>Live-action family ethics; AIGC not flagged</x:v>
      </x:c>
      <x:c r="E66" s="12" t="str">
        <x:v>A_Core</x:v>
      </x:c>
      <x:c r="F66" s="12" t="str">
        <x:v>Family Drama / Family Ethics / Mistress disguise / Pregnant wife</x:v>
      </x:c>
      <x:c r="G66" s="12" t="str">
        <x:v>https://netshort.com/full-episodes/dog-suit-affair-how-to-train-a-side-chick-2053734062975090689
https://netshort.com/drama/all-plots</x:v>
      </x:c>
    </x:row>
    <x:row r="67">
      <x:c r="A67" s="12" t="str">
        <x:v>L0320</x:v>
      </x:c>
      <x:c r="B67" s="12" t="str">
        <x:v>Mafia heiress's forbidden obsession</x:v>
      </x:c>
      <x:c r="C67" s="12" t="str">
        <x:v>NetShort</x:v>
      </x:c>
      <x:c r="D67" s="12" t="str">
        <x:v>Live-action mafia romance; AIGC not flagged</x:v>
      </x:c>
      <x:c r="E67" s="12" t="str">
        <x:v>A_Core</x:v>
      </x:c>
      <x:c r="F67" s="12" t="str">
        <x:v>Modern Romance / Mafia heiress / Forbidden obsession</x:v>
      </x:c>
      <x:c r="G67" s="12" t="str">
        <x:v>https://netshort.com/full-episodes/mafia-heiresss-forbidden-obsession-2054395383885725697
https://netshort.com/drama/all-plots</x:v>
      </x:c>
    </x:row>
    <x:row r="68">
      <x:c r="A68" s="12" t="str">
        <x:v>L0321</x:v>
      </x:c>
      <x:c r="B68" s="12" t="str">
        <x:v>Her Silence Held Her Hostage</x:v>
      </x:c>
      <x:c r="C68" s="12" t="str">
        <x:v>NetShort</x:v>
      </x:c>
      <x:c r="D68" s="12" t="str">
        <x:v>Live-action thriller romance; AIGC not flagged</x:v>
      </x:c>
      <x:c r="E68" s="12" t="str">
        <x:v>B_Strong</x:v>
      </x:c>
      <x:c r="F68" s="12" t="str">
        <x:v>Modern Romance / Kidnap / Forced muteness / Hostage misunderstanding</x:v>
      </x:c>
      <x:c r="G68" s="12" t="str">
        <x:v>https://netshort.com/full-episodes/her-silence-held-her-hostage-2053124993830617089</x:v>
      </x:c>
    </x:row>
    <x:row r="69">
      <x:c r="A69" s="12" t="str">
        <x:v>L0322</x:v>
      </x:c>
      <x:c r="B69" s="12" t="str">
        <x:v>The Billionaire Dad I Never Knew</x:v>
      </x:c>
      <x:c r="C69" s="12" t="str">
        <x:v>NetShort</x:v>
      </x:c>
      <x:c r="D69" s="12" t="str">
        <x:v>Live-action family regret; AIGC not flagged</x:v>
      </x:c>
      <x:c r="E69" s="12" t="str">
        <x:v>B_Strong</x:v>
      </x:c>
      <x:c r="F69" s="12" t="str">
        <x:v>Karma Payback / All-Too-Late / Billionaire dad / Daughter neglect</x:v>
      </x:c>
      <x:c r="G69" s="12" t="str">
        <x:v>https://netshort.com/full-episodes/the-billionaire-dad-i-never-knew-2000452042627629057
https://netshort.com/drama/all-plots</x:v>
      </x:c>
    </x:row>
    <x:row r="70">
      <x:c r="A70" s="12" t="str">
        <x:v>L0323</x:v>
      </x:c>
      <x:c r="B70" s="12" t="str">
        <x:v>Bye, Cult! I AVENGED My Parents</x:v>
      </x:c>
      <x:c r="C70" s="12" t="str">
        <x:v>NetShort</x:v>
      </x:c>
      <x:c r="D70" s="12" t="str">
        <x:v>Live-action/martial revenge; AIGC not flagged</x:v>
      </x:c>
      <x:c r="E70" s="12" t="str">
        <x:v>B_Strong</x:v>
      </x:c>
      <x:c r="F70" s="12" t="str">
        <x:v>Revenge / Finding Relatives / Dojo / Deadly tower</x:v>
      </x:c>
      <x:c r="G70" s="12" t="str">
        <x:v>https://netshort.com/full-episodes/bye-cult-i-avenged-my-parents-2054468341069119490
https://netshort.com/drama/all-plots</x:v>
      </x:c>
    </x:row>
    <x:row r="71">
      <x:c r="A71" s="12" t="str">
        <x:v>L0324</x:v>
      </x:c>
      <x:c r="B71" s="12" t="str">
        <x:v>You Can Steal My Glory, but NOT HER!</x:v>
      </x:c>
      <x:c r="C71" s="12" t="str">
        <x:v>NetShort</x:v>
      </x:c>
      <x:c r="D71" s="12" t="str">
        <x:v>Live-action war romance; AIGC not flagged</x:v>
      </x:c>
      <x:c r="E71" s="12" t="str">
        <x:v>A_Core</x:v>
      </x:c>
      <x:c r="F71" s="12" t="str">
        <x:v>War God / Stolen glory / Bride protection / Brother betrayal</x:v>
      </x:c>
      <x:c r="G71" s="12" t="str">
        <x:v>https://netshort.com/hotseries/you-can-steal-my-glory-but-not-her-2053113584212246530</x:v>
      </x:c>
    </x:row>
  </x:sheetData>
  <x:mergeCells>
    <x:mergeCell ref="A1:H1"/>
  </x:mergeCells>
  <x:pageMargins left="0.7" right="0.7" top="0.75" bottom="0.75" header="0.3" footer="0.3"/>
</x:worksheet>
</file>